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omments/comment1.xml" ContentType="application/vnd.openxmlformats-officedocument.spreadsheetml.comments+xml"/>
  <Override PartName="/xl/worksheets/sheet5.xml" ContentType="application/vnd.openxmlformats-officedocument.spreadsheetml.worksheet+xml"/>
  <Override PartName="/xl/comments/comment2.xml" ContentType="application/vnd.openxmlformats-officedocument.spreadsheetml.comments+xml"/>
  <Override PartName="/xl/worksheets/sheet6.xml" ContentType="application/vnd.openxmlformats-officedocument.spreadsheetml.worksheet+xml"/>
  <Override PartName="/xl/comments/comment3.xml" ContentType="application/vnd.openxmlformats-officedocument.spreadsheetml.comments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5680" yWindow="22100" windowWidth="28800" windowHeight="16060" tabRatio="600" firstSheet="0" activeTab="4" autoFilterDateGrouping="1"/>
  </bookViews>
  <sheets>
    <sheet xmlns:r="http://schemas.openxmlformats.org/officeDocument/2006/relationships" name="Bingo Form" sheetId="1" state="visible" r:id="rId1"/>
    <sheet xmlns:r="http://schemas.openxmlformats.org/officeDocument/2006/relationships" name="EN" sheetId="2" state="visible" r:id="rId2"/>
    <sheet xmlns:r="http://schemas.openxmlformats.org/officeDocument/2006/relationships" name="DE" sheetId="3" state="visible" r:id="rId3"/>
    <sheet xmlns:r="http://schemas.openxmlformats.org/officeDocument/2006/relationships" name="Bob" sheetId="4" state="visible" r:id="rId4"/>
    <sheet xmlns:r="http://schemas.openxmlformats.org/officeDocument/2006/relationships" name="FloFlo" sheetId="5" state="visible" r:id="rId5"/>
    <sheet xmlns:r="http://schemas.openxmlformats.org/officeDocument/2006/relationships" name="Alice" sheetId="6" state="visible" r:id="rId6"/>
    <sheet xmlns:r="http://schemas.openxmlformats.org/officeDocument/2006/relationships" name="Predictions" sheetId="7" state="visible" r:id="rId7"/>
    <sheet xmlns:r="http://schemas.openxmlformats.org/officeDocument/2006/relationships" name="Options" sheetId="8" state="visible" r:id="rId8"/>
  </sheets>
  <definedNames>
    <definedName name="_xleta.OR" hidden="1" xlm="1">#NAME?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6">
    <font>
      <name val="Calibri"/>
      <family val="2"/>
      <color theme="1"/>
      <sz val="12"/>
      <scheme val="minor"/>
    </font>
    <font>
      <name val="Calibri"/>
      <family val="2"/>
      <color rgb="FF000000"/>
      <sz val="12"/>
      <scheme val="minor"/>
    </font>
    <font>
      <name val="Helvetica"/>
      <family val="2"/>
      <sz val="14"/>
    </font>
    <font>
      <name val="Helvetica"/>
      <family val="2"/>
      <color rgb="FF000000"/>
      <sz val="14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2"/>
      <u val="single"/>
      <scheme val="minor"/>
    </font>
  </fonts>
  <fills count="10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rgb="FFFFF7A1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C74EFF"/>
        <bgColor indexed="64"/>
      </patternFill>
    </fill>
    <fill>
      <patternFill patternType="solid">
        <fgColor theme="4" tint="0.5999938962981048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1">
    <xf numFmtId="0" fontId="0" fillId="0" borderId="0" pivotButton="0" quotePrefix="0" xfId="0"/>
    <xf numFmtId="0" fontId="2" fillId="0" borderId="1" applyAlignment="1" pivotButton="0" quotePrefix="0" xfId="0">
      <alignment horizontal="center" vertical="center" wrapText="1"/>
    </xf>
    <xf numFmtId="0" fontId="3" fillId="2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/>
    </xf>
    <xf numFmtId="0" fontId="1" fillId="0" borderId="0" pivotButton="0" quotePrefix="0" xfId="0"/>
    <xf numFmtId="0" fontId="1" fillId="3" borderId="0" pivotButton="0" quotePrefix="0" xfId="0"/>
    <xf numFmtId="0" fontId="1" fillId="4" borderId="0" pivotButton="0" quotePrefix="0" xfId="0"/>
    <xf numFmtId="0" fontId="0" fillId="4" borderId="0" pivotButton="0" quotePrefix="0" xfId="0"/>
    <xf numFmtId="0" fontId="0" fillId="0" borderId="0" applyAlignment="1" pivotButton="0" quotePrefix="0" xfId="0">
      <alignment horizontal="center" vertical="center"/>
    </xf>
    <xf numFmtId="0" fontId="1" fillId="0" borderId="0" applyAlignment="1" pivotButton="0" quotePrefix="0" xfId="0">
      <alignment horizontal="center" vertical="center"/>
    </xf>
    <xf numFmtId="0" fontId="0" fillId="3" borderId="0" pivotButton="0" quotePrefix="0" xfId="0"/>
    <xf numFmtId="0" fontId="0" fillId="4" borderId="0" applyAlignment="1" pivotButton="0" quotePrefix="0" xfId="0">
      <alignment horizontal="center" vertical="center"/>
    </xf>
    <xf numFmtId="0" fontId="1" fillId="6" borderId="0" applyAlignment="1" pivotButton="0" quotePrefix="0" xfId="0">
      <alignment horizontal="center"/>
    </xf>
    <xf numFmtId="0" fontId="1" fillId="7" borderId="0" applyAlignment="1" pivotButton="0" quotePrefix="0" xfId="0">
      <alignment horizontal="center"/>
    </xf>
    <xf numFmtId="0" fontId="1" fillId="5" borderId="0" applyAlignment="1" pivotButton="0" quotePrefix="0" xfId="0">
      <alignment horizontal="center"/>
    </xf>
    <xf numFmtId="0" fontId="0" fillId="6" borderId="0" applyAlignment="1" pivotButton="0" quotePrefix="0" xfId="0">
      <alignment horizontal="center" vertical="center"/>
    </xf>
    <xf numFmtId="0" fontId="0" fillId="7" borderId="0" applyAlignment="1" pivotButton="0" quotePrefix="0" xfId="0">
      <alignment horizontal="center" vertical="center"/>
    </xf>
    <xf numFmtId="0" fontId="0" fillId="5" borderId="0" applyAlignment="1" pivotButton="0" quotePrefix="0" xfId="0">
      <alignment horizontal="center" vertical="center"/>
    </xf>
    <xf numFmtId="0" fontId="0" fillId="5" borderId="0" applyAlignment="1" pivotButton="0" quotePrefix="0" xfId="0">
      <alignment horizontal="center"/>
    </xf>
    <xf numFmtId="0" fontId="0" fillId="7" borderId="0" applyAlignment="1" pivotButton="0" quotePrefix="0" xfId="0">
      <alignment horizontal="center"/>
    </xf>
    <xf numFmtId="0" fontId="0" fillId="6" borderId="0" applyAlignment="1" pivotButton="0" quotePrefix="0" xfId="0">
      <alignment horizontal="center"/>
    </xf>
    <xf numFmtId="1" fontId="0" fillId="8" borderId="0" applyAlignment="1" pivotButton="0" quotePrefix="0" xfId="0">
      <alignment horizontal="center" vertical="center"/>
    </xf>
    <xf numFmtId="0" fontId="0" fillId="9" borderId="0" applyAlignment="1" pivotButton="0" quotePrefix="0" xfId="0">
      <alignment horizontal="center"/>
    </xf>
    <xf numFmtId="0" fontId="1" fillId="9" borderId="0" applyAlignment="1" pivotButton="0" quotePrefix="0" xfId="0">
      <alignment horizontal="center"/>
    </xf>
    <xf numFmtId="0" fontId="4" fillId="0" borderId="0" applyAlignment="1" pivotButton="0" quotePrefix="0" xfId="0">
      <alignment horizontal="center" vertical="center"/>
    </xf>
    <xf numFmtId="1" fontId="1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/>
    </xf>
    <xf numFmtId="0" fontId="4" fillId="0" borderId="2" applyAlignment="1" pivotButton="0" quotePrefix="0" xfId="0">
      <alignment horizontal="center"/>
    </xf>
    <xf numFmtId="0" fontId="0" fillId="0" borderId="2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5" fillId="0" borderId="0" applyAlignment="1" pivotButton="0" quotePrefix="0" xfId="0">
      <alignment horizontal="center"/>
    </xf>
  </cellXfs>
  <cellStyles count="1">
    <cellStyle name="Normal" xfId="0" builtinId="0"/>
  </cellStyles>
  <dxfs count="127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styles" Target="styles.xml" Id="rId9"/><Relationship Type="http://schemas.openxmlformats.org/officeDocument/2006/relationships/theme" Target="theme/theme1.xml" Id="rId10"/><Relationship Type="http://schemas.microsoft.com/office/2006/relationships/vbaProject" Target="vbaProject.bin" Id="rId11"/></Relationships>
</file>

<file path=xl/comments/comment1.xml><?xml version="1.0" encoding="utf-8"?>
<comments xmlns="http://schemas.openxmlformats.org/spreadsheetml/2006/main">
  <authors>
    <author>Bingo Generator</author>
  </authors>
  <commentList>
    <comment ref="B2" authorId="0" shapeId="0">
      <text>
        <t>Someone appears from or disappears into the stage floor</t>
      </text>
    </comment>
    <comment ref="C2" authorId="0" shapeId="0">
      <text>
        <t>An artificial rain effect appears during the performance</t>
      </text>
    </comment>
    <comment ref="D2" authorId="0" shapeId="0">
      <text>
        <t>Part of the performance includes sign language interpretation</t>
      </text>
    </comment>
    <comment ref="E2" authorId="0" shapeId="0">
      <text>
        <t>Someone performs without shoes</t>
      </text>
    </comment>
    <comment ref="F2" authorId="0" shapeId="0">
      <text>
        <t>A performer rips off part of their outfit mid-song</t>
      </text>
    </comment>
    <comment ref="B3" authorId="0" shapeId="0">
      <text>
        <t>A camera lingers in an unusually tight close-up</t>
      </text>
    </comment>
    <comment ref="C3" authorId="0" shapeId="0">
      <text>
        <t>A performer makes a subtle political gesture</t>
      </text>
    </comment>
    <comment ref="D3" authorId="0" shapeId="0">
      <text>
        <t>A dancer is lifted overhead during the performance</t>
      </text>
    </comment>
    <comment ref="E3" authorId="0" shapeId="0">
      <text>
        <t>A camera visibly misses its cue or shows the wrong shot</t>
      </text>
    </comment>
    <comment ref="F3" authorId="0" shapeId="0">
      <text>
        <t>A large or bizarre prop appears, e.g. a wheel or a tractor</t>
      </text>
    </comment>
    <comment ref="B4" authorId="0" shapeId="0">
      <text>
        <t>Fireworks appear during a country's performance</t>
      </text>
    </comment>
    <comment ref="C4" authorId="0" shapeId="0">
      <text>
        <t>Performers embrace at the end of their song</t>
      </text>
    </comment>
    <comment ref="E4" authorId="0" shapeId="0">
      <text>
        <t>A high note follows immediately after a key change</t>
      </text>
    </comment>
    <comment ref="F4" authorId="0" shapeId="0">
      <text>
        <t>A spokesperson mispronounces or corrects the points</t>
      </text>
    </comment>
    <comment ref="B5" authorId="0" shapeId="0">
      <text>
        <t>A backing singer gets a clear solo moment</t>
      </text>
    </comment>
    <comment ref="C5" authorId="0" shapeId="0">
      <text>
        <t>An unconventional instrument features prominently</t>
      </text>
    </comment>
    <comment ref="D5" authorId="0" shapeId="0">
      <text>
        <t>The audience or hosts chant "douze points"</t>
      </text>
    </comment>
    <comment ref="E5" authorId="0" shapeId="0">
      <text>
        <t>The song switches between two or more languages</t>
      </text>
    </comment>
    <comment ref="F5" authorId="0" shapeId="0">
      <text>
        <t>Two performers share a clearly romantic-coded moment</t>
      </text>
    </comment>
    <comment ref="B6" authorId="0" shapeId="0">
      <text>
        <t>The song shifts up a key, usually right before the final chorus</t>
      </text>
    </comment>
    <comment ref="C6" authorId="0" shapeId="0">
      <text>
        <t>A performer or fan wears a flag as a cape</t>
      </text>
    </comment>
    <comment ref="D6" authorId="0" shapeId="0">
      <text>
        <t>A country gives full points to a bordering country</t>
      </text>
    </comment>
    <comment ref="E6" authorId="0" shapeId="0">
      <text>
        <t>A fan blows hair or fabric dramatically on stage</t>
      </text>
    </comment>
    <comment ref="F6" authorId="0" shapeId="0">
      <text>
        <t>Someone jokes about scoring zero points</t>
      </text>
    </comment>
  </commentList>
</comments>
</file>

<file path=xl/comments/comment2.xml><?xml version="1.0" encoding="utf-8"?>
<comments xmlns="http://schemas.openxmlformats.org/spreadsheetml/2006/main">
  <authors>
    <author>Bingo Generator</author>
  </authors>
  <commentList>
    <comment ref="B2" authorId="0" shapeId="0">
      <text>
        <t>A camera visibly misses its cue or shows the wrong shot</t>
      </text>
    </comment>
    <comment ref="C2" authorId="0" shapeId="0">
      <text>
        <t>A high note follows immediately after a key change</t>
      </text>
    </comment>
    <comment ref="D2" authorId="0" shapeId="0">
      <text>
        <t>The song switches between two or more languages</t>
      </text>
    </comment>
    <comment ref="E2" authorId="0" shapeId="0">
      <text>
        <t>A postcard or interval performance overruns</t>
      </text>
    </comment>
    <comment ref="F2" authorId="0" shapeId="0">
      <text>
        <t>A performer or fan wears a flag as a cape</t>
      </text>
    </comment>
    <comment ref="B3" authorId="0" shapeId="0">
      <text>
        <t>A backing singer gets a clear solo moment</t>
      </text>
    </comment>
    <comment ref="C3" authorId="0" shapeId="0">
      <text>
        <t>An unconventional instrument features prominently</t>
      </text>
    </comment>
    <comment ref="D3" authorId="0" shapeId="0">
      <text>
        <t>An artificial rain effect appears during the performance</t>
      </text>
    </comment>
    <comment ref="E3" authorId="0" shapeId="0">
      <text>
        <t>A large or bizarre prop appears, e.g. a wheel or a tractor</t>
      </text>
    </comment>
    <comment ref="F3" authorId="0" shapeId="0">
      <text>
        <t>Someone performs without shoes</t>
      </text>
    </comment>
    <comment ref="B4" authorId="0" shapeId="0">
      <text>
        <t>A presenter fumbles or has to correct the running order</t>
      </text>
    </comment>
    <comment ref="C4" authorId="0" shapeId="0">
      <text>
        <t>A performer makes a subtle political gesture</t>
      </text>
    </comment>
    <comment ref="E4" authorId="0" shapeId="0">
      <text>
        <t>A delegation's reaction shot becomes a talking point</t>
      </text>
    </comment>
    <comment ref="F4" authorId="0" shapeId="0">
      <text>
        <t>A performer visibly forgets or fumbles their lyrics</t>
      </text>
    </comment>
    <comment ref="B5" authorId="0" shapeId="0">
      <text>
        <t>Someone jokes about scoring zero points</t>
      </text>
    </comment>
    <comment ref="C5" authorId="0" shapeId="0">
      <text>
        <t>A jury spokesperson has a video or audio glitch</t>
      </text>
    </comment>
    <comment ref="D5" authorId="0" shapeId="0">
      <text>
        <t>A dance move clearly designed to go viral online</t>
      </text>
    </comment>
    <comment ref="E5" authorId="0" shapeId="0">
      <text>
        <t>A performer changes outfits more than twice</t>
      </text>
    </comment>
    <comment ref="F5" authorId="0" shapeId="0">
      <text>
        <t>Part of the performance includes sign language interpretation</t>
      </text>
    </comment>
    <comment ref="B6" authorId="0" shapeId="0">
      <text>
        <t>Performers embrace at the end of their song</t>
      </text>
    </comment>
    <comment ref="C6" authorId="0" shapeId="0">
      <text>
        <t>The audience or hosts chant "douze points"</t>
      </text>
    </comment>
    <comment ref="D6" authorId="0" shapeId="0">
      <text>
        <t>A slow song builds to one enormous final note</t>
      </text>
    </comment>
    <comment ref="E6" authorId="0" shapeId="0">
      <text>
        <t>Fire, sparks, or flames appear on stage</t>
      </text>
    </comment>
    <comment ref="F6" authorId="0" shapeId="0">
      <text>
        <t>A fan blows hair or fabric dramatically on stage</t>
      </text>
    </comment>
  </commentList>
</comments>
</file>

<file path=xl/comments/comment3.xml><?xml version="1.0" encoding="utf-8"?>
<comments xmlns="http://schemas.openxmlformats.org/spreadsheetml/2006/main">
  <authors>
    <author>Bingo Generator</author>
  </authors>
  <commentList>
    <comment ref="B2" authorId="0" shapeId="0">
      <text>
        <t>Ein großes oder skurriles Requisit taucht auf, z. B. ein Rad oder ein Traktor</t>
      </text>
    </comment>
    <comment ref="C2" authorId="0" shapeId="0">
      <text>
        <t>Der Song wechselt vor dem letzten Refrain in eine höhere Tonart</t>
      </text>
    </comment>
    <comment ref="D2" authorId="0" shapeId="0">
      <text>
        <t>Eine Backgroundstimme bekommt einen klaren Solomoment</t>
      </text>
    </comment>
    <comment ref="E2" authorId="0" shapeId="0">
      <text>
        <t>Ein Teil des Outfits wird während des Songs abgerissen</t>
      </text>
    </comment>
    <comment ref="F2" authorId="0" shapeId="0">
      <text>
        <t>Ein hoher Ton folgt direkt auf den Tonartwechsel</t>
      </text>
    </comment>
    <comment ref="B3" authorId="0" shapeId="0">
      <text>
        <t>Jemand tritt ohne Schuhe auf</t>
      </text>
    </comment>
    <comment ref="C3" authorId="0" shapeId="0">
      <text>
        <t>Ein Ventilator lässt Haare oder Stoff dramatisch wehen</t>
      </text>
    </comment>
    <comment ref="D3" authorId="0" shapeId="0">
      <text>
        <t>Eine Postkarte oder Pausen-Show zieht sich in die Länge</t>
      </text>
    </comment>
    <comment ref="E3" authorId="0" shapeId="0">
      <text>
        <t>Flammen, Funken oder Feuer erscheinen</t>
      </text>
    </comment>
    <comment ref="F3" authorId="0" shapeId="0">
      <text>
        <t>Ein Act oder Fan trägt eine Flagge als Umhang</t>
      </text>
    </comment>
    <comment ref="B4" authorId="0" shapeId="0">
      <text>
        <t>Eine Kamera verpasst sichtbar ihr Stichwort oder zeigt das Falsche</t>
      </text>
    </comment>
    <comment ref="C4" authorId="0" shapeId="0">
      <text>
        <t>Ein künstlicher Regeneffekt begleitet den Auftritt</t>
      </text>
    </comment>
    <comment ref="E4" authorId="0" shapeId="0">
      <text>
        <t>Der Song wechselt zwischen zwei oder mehr Sprachen</t>
      </text>
    </comment>
    <comment ref="F4" authorId="0" shapeId="0">
      <text>
        <t>Eine Tänzerin oder ein Tänzer wird über Kopf gehoben</t>
      </text>
    </comment>
    <comment ref="B5" authorId="0" shapeId="0">
      <text>
        <t>Die Performer umarmen sich am Ende des Songs</t>
      </text>
    </comment>
    <comment ref="C5" authorId="0" shapeId="0">
      <text>
        <t>Ein Schlagzeuger verlässt sein Set und spielt im Stehen</t>
      </text>
    </comment>
    <comment ref="D5" authorId="0" shapeId="0">
      <text>
        <t>Teile der Show werden in Gebärdensprache gedolmetscht</t>
      </text>
    </comment>
    <comment ref="E5" authorId="0" shapeId="0">
      <text>
        <t>Ein Land gibt die volle Punktzahl an ein Nachbarland</t>
      </text>
    </comment>
    <comment ref="F5" authorId="0" shapeId="0">
      <text>
        <t>Ein Act macht eine subtile politische Geste</t>
      </text>
    </comment>
    <comment ref="B6" authorId="0" shapeId="0">
      <text>
        <t>Ein Moderator verhaspelt oder korrigiert die Reihenfolge</t>
      </text>
    </comment>
    <comment ref="C6" authorId="0" shapeId="0">
      <text>
        <t>Jemand vergisst sichtbar den Text</t>
      </text>
    </comment>
    <comment ref="D6" authorId="0" shapeId="0">
      <text>
        <t>Jemand macht einen Scherz über null Punkte</t>
      </text>
    </comment>
    <comment ref="E6" authorId="0" shapeId="0">
      <text>
        <t>Eine riesige Flagge wird im Publikum entrollt</t>
      </text>
    </comment>
    <comment ref="F6" authorId="0" shapeId="0">
      <text>
        <t>Publikum oder Moderation rufen "douze points"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Relationship Type="http://schemas.openxmlformats.org/officeDocument/2006/relationships/image" Target="/xl/media/image2.png" Id="rId2"/><Relationship Type="http://schemas.openxmlformats.org/officeDocument/2006/relationships/image" Target="/xl/media/image3.png" Id="rId3"/><Relationship Type="http://schemas.openxmlformats.org/officeDocument/2006/relationships/image" Target="/xl/media/image4.png" Id="rId4"/></Relationships>
</file>

<file path=xl/drawings/drawing1.xml><?xml version="1.0" encoding="utf-8"?>
<wsDr xmlns="http://schemas.openxmlformats.org/drawingml/2006/spreadsheetDrawing">
  <twoCellAnchor editAs="oneCell">
    <from>
      <col>18</col>
      <colOff>30616</colOff>
      <row>55</row>
      <rowOff>54429</rowOff>
    </from>
    <to>
      <col>19</col>
      <colOff>392339</colOff>
      <row>75</row>
      <rowOff>191208</rowOff>
    </to>
    <pic>
      <nvPicPr>
        <cNvPr id="3" name="Picture 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20822330" y="11030858"/>
          <a:ext cx="6103938" cy="4128207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13</col>
      <colOff>681056</colOff>
      <row>55</row>
      <rowOff>34191</rowOff>
    </from>
    <to>
      <col>14</col>
      <colOff>306624</colOff>
      <row>77</row>
      <rowOff>43962</rowOff>
    </to>
    <pic>
      <nvPicPr>
        <cNvPr id="5" name="Picture 4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11956842" y="11010620"/>
          <a:ext cx="6474495" cy="4400342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8</col>
      <colOff>433915</colOff>
      <row>57</row>
      <rowOff>84666</rowOff>
    </from>
    <to>
      <col>8</col>
      <colOff>6539004</colOff>
      <row>78</row>
      <rowOff>126999</rowOff>
    </to>
    <pic>
      <nvPicPr>
        <cNvPr id="7" name="Picture 6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3"/>
        <a:stretch xmlns:a="http://schemas.openxmlformats.org/drawingml/2006/main">
          <a:fillRect/>
        </a:stretch>
      </blipFill>
      <spPr>
        <a:xfrm xmlns:a="http://schemas.openxmlformats.org/drawingml/2006/main">
          <a:off x="2264832" y="11546416"/>
          <a:ext cx="6105089" cy="4265083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3</col>
      <colOff>152400</colOff>
      <row>55</row>
      <rowOff>139701</rowOff>
    </from>
    <to>
      <col>3</col>
      <colOff>6551381</colOff>
      <row>77</row>
      <rowOff>139700</rowOff>
    </to>
    <pic>
      <nvPicPr>
        <cNvPr id="2" name="Picture 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4"/>
        <a:stretch xmlns:a="http://schemas.openxmlformats.org/drawingml/2006/main">
          <a:fillRect/>
        </a:stretch>
      </blipFill>
      <spPr>
        <a:xfrm xmlns:a="http://schemas.openxmlformats.org/drawingml/2006/main">
          <a:off x="1981200" y="11315701"/>
          <a:ext cx="6398981" cy="447039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2013 - 2022 Theme">
  <a:themeElements>
    <a:clrScheme name="Slipstream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4E67C8"/>
      </a:accent1>
      <a:accent2>
        <a:srgbClr val="5ECCF3"/>
      </a:accent2>
      <a:accent3>
        <a:srgbClr val="A7EA52"/>
      </a:accent3>
      <a:accent4>
        <a:srgbClr val="5DCEAF"/>
      </a:accent4>
      <a:accent5>
        <a:srgbClr val="FF8021"/>
      </a:accent5>
      <a:accent6>
        <a:srgbClr val="F14124"/>
      </a:accent6>
      <a:hlink>
        <a:srgbClr val="56C7AA"/>
      </a:hlink>
      <a:folHlink>
        <a:srgbClr val="59A8D1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4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5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commentsDrawing2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commentsDrawing3.vml" Id="anysvml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B2:F6"/>
  <sheetViews>
    <sheetView workbookViewId="0">
      <selection activeCell="E4" sqref="E4"/>
    </sheetView>
  </sheetViews>
  <sheetFormatPr baseColWidth="10" defaultRowHeight="16"/>
  <cols>
    <col width="20.83203125" customWidth="1" min="2" max="6"/>
  </cols>
  <sheetData>
    <row r="2" ht="125" customHeight="1">
      <c r="B2" s="1" t="n"/>
      <c r="C2" s="1" t="n"/>
      <c r="D2" s="1" t="n"/>
      <c r="E2" s="1" t="n"/>
      <c r="F2" s="1" t="n"/>
    </row>
    <row r="3" ht="125" customHeight="1">
      <c r="B3" s="1" t="n"/>
      <c r="C3" s="1" t="n"/>
      <c r="D3" s="1" t="n"/>
      <c r="E3" s="1" t="n"/>
      <c r="F3" s="1" t="n"/>
    </row>
    <row r="4" ht="125" customHeight="1">
      <c r="B4" s="1" t="n"/>
      <c r="C4" s="1" t="n"/>
      <c r="D4" s="1" t="inlineStr">
        <is>
          <t>"You're good to go"</t>
        </is>
      </c>
      <c r="E4" s="1" t="n"/>
      <c r="F4" s="1" t="n"/>
    </row>
    <row r="5" ht="125" customHeight="1">
      <c r="B5" s="1" t="n"/>
      <c r="C5" s="1" t="n"/>
      <c r="D5" s="1" t="n"/>
      <c r="E5" s="1" t="n"/>
      <c r="F5" s="1" t="n"/>
    </row>
    <row r="6" ht="125" customHeight="1">
      <c r="B6" s="1" t="n"/>
      <c r="C6" s="1" t="n"/>
      <c r="D6" s="1" t="n"/>
      <c r="E6" s="1" t="n"/>
      <c r="F6" s="1" t="n"/>
    </row>
  </sheetData>
  <conditionalFormatting sqref="B2:F6">
    <cfRule type="duplicateValues" priority="1" dxfId="24"/>
  </conditionalFormatting>
  <pageMargins left="0.7" right="0.7" top="0.75" bottom="0.75" header="0.3" footer="0.3"/>
  <pageSetup orientation="portrait" paperSize="9" horizontalDpi="0" verticalDpi="0"/>
</worksheet>
</file>

<file path=xl/worksheets/sheet2.xml><?xml version="1.0" encoding="utf-8"?>
<worksheet xmlns="http://schemas.openxmlformats.org/spreadsheetml/2006/main">
  <sheetPr codeName="Sheet4">
    <outlinePr summaryBelow="1" summaryRight="1"/>
    <pageSetUpPr fitToPage="1"/>
  </sheetPr>
  <dimension ref="B2:F6"/>
  <sheetViews>
    <sheetView zoomScaleNormal="120" workbookViewId="0">
      <selection activeCell="D4" sqref="D4"/>
    </sheetView>
  </sheetViews>
  <sheetFormatPr baseColWidth="10" defaultRowHeight="16"/>
  <cols>
    <col width="20.83203125" customWidth="1" min="2" max="6"/>
  </cols>
  <sheetData>
    <row r="2" ht="125" customHeight="1">
      <c r="B2" s="2" t="n"/>
      <c r="C2" s="2" t="n"/>
      <c r="D2" s="2" t="n"/>
      <c r="E2" s="2" t="n"/>
      <c r="F2" s="2" t="n"/>
    </row>
    <row r="3" ht="125" customHeight="1">
      <c r="B3" s="2" t="n"/>
      <c r="C3" s="2" t="n"/>
      <c r="D3" s="2" t="n"/>
      <c r="E3" s="2" t="n"/>
      <c r="F3" s="2" t="n"/>
    </row>
    <row r="4" ht="125" customHeight="1">
      <c r="B4" s="2" t="n"/>
      <c r="C4" s="2" t="n"/>
      <c r="D4" s="2" t="inlineStr">
        <is>
          <t>"Our twelve points go to…"</t>
        </is>
      </c>
      <c r="E4" s="2" t="n"/>
      <c r="F4" s="2" t="n"/>
    </row>
    <row r="5" ht="125" customHeight="1">
      <c r="B5" s="2" t="n"/>
      <c r="C5" s="2" t="n"/>
      <c r="D5" s="2" t="n"/>
      <c r="E5" s="2" t="n"/>
      <c r="F5" s="2" t="n"/>
    </row>
    <row r="6" ht="125" customHeight="1">
      <c r="B6" s="2" t="n"/>
      <c r="C6" s="2" t="n"/>
      <c r="D6" s="2" t="n"/>
      <c r="E6" s="2" t="n"/>
      <c r="F6" s="2" t="n"/>
    </row>
  </sheetData>
  <conditionalFormatting sqref="B2:F6">
    <cfRule type="duplicateValues" priority="21" dxfId="24"/>
  </conditionalFormatting>
  <pageMargins left="0.7" right="0.7" top="0.75" bottom="0.75" header="0.3" footer="0.3"/>
  <pageSetup orientation="portrait" paperSize="9" scale="71" horizontalDpi="0" verticalDpi="0"/>
</worksheet>
</file>

<file path=xl/worksheets/sheet3.xml><?xml version="1.0" encoding="utf-8"?>
<worksheet xmlns="http://schemas.openxmlformats.org/spreadsheetml/2006/main">
  <sheetPr codeName="Sheet15">
    <outlinePr summaryBelow="1" summaryRight="1"/>
    <pageSetUpPr fitToPage="1"/>
  </sheetPr>
  <dimension ref="B2:F6"/>
  <sheetViews>
    <sheetView workbookViewId="0">
      <selection activeCell="D4" sqref="D4"/>
    </sheetView>
  </sheetViews>
  <sheetFormatPr baseColWidth="10" defaultRowHeight="16"/>
  <cols>
    <col width="20.83203125" customWidth="1" min="2" max="6"/>
  </cols>
  <sheetData>
    <row r="2" ht="125" customHeight="1">
      <c r="B2" s="2" t="n"/>
      <c r="C2" s="2" t="n"/>
      <c r="D2" s="2" t="n"/>
      <c r="E2" s="2" t="n"/>
      <c r="F2" s="2" t="n"/>
    </row>
    <row r="3" ht="125" customHeight="1">
      <c r="B3" s="2" t="n"/>
      <c r="C3" s="2" t="n"/>
      <c r="D3" s="2" t="n"/>
      <c r="E3" s="2" t="n"/>
      <c r="F3" s="2" t="n"/>
    </row>
    <row r="4" ht="125" customHeight="1">
      <c r="B4" s="2" t="n"/>
      <c r="C4" s="2" t="n"/>
      <c r="D4" s="2" t="inlineStr">
        <is>
          <t>"Our twelve points go to…"</t>
        </is>
      </c>
      <c r="E4" s="2" t="n"/>
      <c r="F4" s="2" t="n"/>
    </row>
    <row r="5" ht="125" customHeight="1">
      <c r="B5" s="2" t="n"/>
      <c r="C5" s="2" t="n"/>
      <c r="D5" s="2" t="n"/>
      <c r="E5" s="2" t="n"/>
      <c r="F5" s="2" t="n"/>
    </row>
    <row r="6" ht="125" customHeight="1">
      <c r="B6" s="2" t="n"/>
      <c r="C6" s="2" t="n"/>
      <c r="D6" s="2" t="n"/>
      <c r="E6" s="2" t="n"/>
      <c r="F6" s="2" t="n"/>
    </row>
  </sheetData>
  <conditionalFormatting sqref="B2:F6">
    <cfRule type="duplicateValues" priority="20" dxfId="24"/>
  </conditionalFormatting>
  <pageMargins left="0.7086614173228347" right="0.7086614173228347" top="0.7480314960629921" bottom="0.7480314960629921" header="0.3149606299212598" footer="0.3149606299212598"/>
  <pageSetup orientation="portrait" paperSize="9" scale="71" horizontalDpi="0" verticalDpi="0"/>
</worksheet>
</file>

<file path=xl/worksheets/sheet4.xml><?xml version="1.0" encoding="utf-8"?>
<worksheet xmlns="http://schemas.openxmlformats.org/spreadsheetml/2006/main">
  <sheetPr codeName="Sheet17">
    <outlinePr summaryBelow="1" summaryRight="1"/>
    <pageSetUpPr fitToPage="1"/>
  </sheetPr>
  <dimension ref="B2:F6"/>
  <sheetViews>
    <sheetView workbookViewId="0">
      <selection activeCell="F4" sqref="F4"/>
    </sheetView>
  </sheetViews>
  <sheetFormatPr baseColWidth="10" defaultRowHeight="16"/>
  <cols>
    <col width="20.83203125" customWidth="1" min="2" max="6"/>
  </cols>
  <sheetData>
    <row r="2" ht="125" customHeight="1">
      <c r="B2" s="2" t="inlineStr">
        <is>
          <t>Stage trapdoor</t>
        </is>
      </c>
      <c r="C2" s="2" t="inlineStr">
        <is>
          <t>Rain on stage</t>
        </is>
      </c>
      <c r="D2" s="2" t="inlineStr">
        <is>
          <t>Sign language</t>
        </is>
      </c>
      <c r="E2" s="2" t="inlineStr">
        <is>
          <t>Barefoot performer</t>
        </is>
      </c>
      <c r="F2" s="2" t="inlineStr">
        <is>
          <t>Costume reveal</t>
        </is>
      </c>
    </row>
    <row r="3" ht="125" customHeight="1">
      <c r="B3" s="2" t="inlineStr">
        <is>
          <t>Extreme close-up</t>
        </is>
      </c>
      <c r="C3" s="2" t="inlineStr">
        <is>
          <t>Political statement</t>
        </is>
      </c>
      <c r="D3" s="2" t="inlineStr">
        <is>
          <t>Dancer lift</t>
        </is>
      </c>
      <c r="E3" s="2" t="inlineStr">
        <is>
          <t>Camera fail</t>
        </is>
      </c>
      <c r="F3" s="2" t="inlineStr">
        <is>
          <t>Odd stage prop</t>
        </is>
      </c>
    </row>
    <row r="4" ht="125" customHeight="1">
      <c r="B4" s="2" t="inlineStr">
        <is>
          <t>Fireworks finale</t>
        </is>
      </c>
      <c r="C4" s="2" t="inlineStr">
        <is>
          <t>Group hug</t>
        </is>
      </c>
      <c r="D4" s="2" t="n"/>
      <c r="E4" s="2" t="inlineStr">
        <is>
          <t>Scream after key change</t>
        </is>
      </c>
      <c r="F4" s="2" t="inlineStr">
        <is>
          <t>Points reading mistake</t>
        </is>
      </c>
    </row>
    <row r="5" ht="125" customHeight="1">
      <c r="B5" s="2" t="inlineStr">
        <is>
          <t>Backing vocalist spotlight</t>
        </is>
      </c>
      <c r="C5" s="2" t="inlineStr">
        <is>
          <t>Unusual instrument</t>
        </is>
      </c>
      <c r="D5" s="2" t="inlineStr">
        <is>
          <t>Douze points chant</t>
        </is>
      </c>
      <c r="E5" s="2" t="inlineStr">
        <is>
          <t>Language mix</t>
        </is>
      </c>
      <c r="F5" s="2" t="inlineStr">
        <is>
          <t>Duet chemistry</t>
        </is>
      </c>
    </row>
    <row r="6" ht="125" customHeight="1">
      <c r="B6" s="2" t="inlineStr">
        <is>
          <t>Key change</t>
        </is>
      </c>
      <c r="C6" s="2" t="inlineStr">
        <is>
          <t>Flag cape</t>
        </is>
      </c>
      <c r="D6" s="2" t="inlineStr">
        <is>
          <t>Neighbourly votes</t>
        </is>
      </c>
      <c r="E6" s="2" t="inlineStr">
        <is>
          <t>Wind machine</t>
        </is>
      </c>
      <c r="F6" s="2" t="inlineStr">
        <is>
          <t>Nul points joke</t>
        </is>
      </c>
    </row>
  </sheetData>
  <conditionalFormatting sqref="B2:F6">
    <cfRule type="duplicateValues" priority="20" dxfId="24"/>
  </conditionalFormatting>
  <pageMargins left="0.7086614173228347" right="0.7086614173228347" top="0.7480314960629921" bottom="0.7480314960629921" header="0.3149606299212598" footer="0.3149606299212598"/>
  <pageSetup orientation="portrait" paperSize="9" scale="71" horizontalDpi="0" verticalDpi="0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8">
    <outlinePr summaryBelow="1" summaryRight="1"/>
    <pageSetUpPr fitToPage="1"/>
  </sheetPr>
  <dimension ref="B2:F6"/>
  <sheetViews>
    <sheetView tabSelected="1" workbookViewId="0">
      <selection activeCell="D3" sqref="D3"/>
    </sheetView>
  </sheetViews>
  <sheetFormatPr baseColWidth="10" defaultRowHeight="16"/>
  <cols>
    <col width="20.83203125" customWidth="1" min="2" max="6"/>
  </cols>
  <sheetData>
    <row r="2" ht="125" customHeight="1">
      <c r="B2" s="2" t="inlineStr">
        <is>
          <t>Camera fail</t>
        </is>
      </c>
      <c r="C2" s="2" t="inlineStr">
        <is>
          <t>Scream after key change</t>
        </is>
      </c>
      <c r="D2" s="2" t="inlineStr">
        <is>
          <t>Language mix</t>
        </is>
      </c>
      <c r="E2" s="2" t="inlineStr">
        <is>
          <t>Interval act runs long</t>
        </is>
      </c>
      <c r="F2" s="2" t="inlineStr">
        <is>
          <t>Flag cape</t>
        </is>
      </c>
    </row>
    <row r="3" ht="125" customHeight="1">
      <c r="B3" s="2" t="inlineStr">
        <is>
          <t>Backing vocalist spotlight</t>
        </is>
      </c>
      <c r="C3" s="2" t="inlineStr">
        <is>
          <t>Unusual instrument</t>
        </is>
      </c>
      <c r="D3" s="2" t="inlineStr">
        <is>
          <t>Rain on stage</t>
        </is>
      </c>
      <c r="E3" s="2" t="inlineStr">
        <is>
          <t>Odd stage prop</t>
        </is>
      </c>
      <c r="F3" s="2" t="inlineStr">
        <is>
          <t>Barefoot performer</t>
        </is>
      </c>
    </row>
    <row r="4" ht="125" customHeight="1">
      <c r="B4" s="2" t="inlineStr">
        <is>
          <t>Running order chaos</t>
        </is>
      </c>
      <c r="C4" s="2" t="inlineStr">
        <is>
          <t>Political statement</t>
        </is>
      </c>
      <c r="D4" s="2" t="n"/>
      <c r="E4" s="2" t="inlineStr">
        <is>
          <t>Green room reaction</t>
        </is>
      </c>
      <c r="F4" s="2" t="inlineStr">
        <is>
          <t>Forgotten lyrics</t>
        </is>
      </c>
    </row>
    <row r="5" ht="125" customHeight="1">
      <c r="B5" s="2" t="inlineStr">
        <is>
          <t>Nul points joke</t>
        </is>
      </c>
      <c r="C5" s="2" t="inlineStr">
        <is>
          <t>Jury technical difficulty</t>
        </is>
      </c>
      <c r="D5" s="2" t="inlineStr">
        <is>
          <t>Fan-made choreography</t>
        </is>
      </c>
      <c r="E5" s="2" t="inlineStr">
        <is>
          <t>Three costume changes</t>
        </is>
      </c>
      <c r="F5" s="2" t="inlineStr">
        <is>
          <t>Sign language</t>
        </is>
      </c>
    </row>
    <row r="6" ht="125" customHeight="1">
      <c r="B6" s="2" t="inlineStr">
        <is>
          <t>Group hug</t>
        </is>
      </c>
      <c r="C6" s="2" t="inlineStr">
        <is>
          <t>Douze points chant</t>
        </is>
      </c>
      <c r="D6" s="2" t="inlineStr">
        <is>
          <t>Ballad's big note</t>
        </is>
      </c>
      <c r="E6" s="2" t="inlineStr">
        <is>
          <t>Pyrotechnics</t>
        </is>
      </c>
      <c r="F6" s="2" t="inlineStr">
        <is>
          <t>Wind machine</t>
        </is>
      </c>
    </row>
  </sheetData>
  <conditionalFormatting sqref="B2:F6">
    <cfRule type="duplicateValues" priority="20" dxfId="24"/>
  </conditionalFormatting>
  <pageMargins left="0.7086614173228347" right="0.7086614173228347" top="0.7480314960629921" bottom="0.7480314960629921" header="0.3149606299212598" footer="0.3149606299212598"/>
  <pageSetup orientation="portrait" paperSize="9" scale="71" horizontalDpi="0" verticalDpi="0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16">
    <outlinePr summaryBelow="1" summaryRight="1"/>
    <pageSetUpPr fitToPage="1"/>
  </sheetPr>
  <dimension ref="B2:F6"/>
  <sheetViews>
    <sheetView workbookViewId="0">
      <selection activeCell="D4" sqref="D4"/>
    </sheetView>
  </sheetViews>
  <sheetFormatPr baseColWidth="10" defaultRowHeight="16"/>
  <cols>
    <col width="20.83203125" customWidth="1" min="2" max="6"/>
  </cols>
  <sheetData>
    <row r="2" ht="125" customHeight="1">
      <c r="B2" s="2" t="inlineStr">
        <is>
          <t>Kurioses Bühnenbild</t>
        </is>
      </c>
      <c r="C2" s="2" t="inlineStr">
        <is>
          <t>Tonartwechsel</t>
        </is>
      </c>
      <c r="D2" s="2" t="inlineStr">
        <is>
          <t>Backgroundsängerin im Rampenlicht</t>
        </is>
      </c>
      <c r="E2" s="2" t="inlineStr">
        <is>
          <t>Kostüm-Enthüllung</t>
        </is>
      </c>
      <c r="F2" s="2" t="inlineStr">
        <is>
          <t>Schrei nach Tonartwechsel</t>
        </is>
      </c>
    </row>
    <row r="3" ht="125" customHeight="1">
      <c r="B3" s="2" t="inlineStr">
        <is>
          <t>Barfuß auf der Bühne</t>
        </is>
      </c>
      <c r="C3" s="2" t="inlineStr">
        <is>
          <t>Windmaschine</t>
        </is>
      </c>
      <c r="D3" s="2" t="inlineStr">
        <is>
          <t>Verlängerte Pause</t>
        </is>
      </c>
      <c r="E3" s="2" t="inlineStr">
        <is>
          <t>Feuerwerk auf der Bühne</t>
        </is>
      </c>
      <c r="F3" s="2" t="inlineStr">
        <is>
          <t>Flaggenumhang</t>
        </is>
      </c>
    </row>
    <row r="4" ht="125" customHeight="1">
      <c r="B4" s="2" t="inlineStr">
        <is>
          <t>Kamerapanne</t>
        </is>
      </c>
      <c r="C4" s="2" t="inlineStr">
        <is>
          <t>Regen auf der Bühne</t>
        </is>
      </c>
      <c r="D4" s="2" t="n"/>
      <c r="E4" s="2" t="inlineStr">
        <is>
          <t>Sprachmix</t>
        </is>
      </c>
      <c r="F4" s="2" t="inlineStr">
        <is>
          <t>Hebefigur</t>
        </is>
      </c>
    </row>
    <row r="5" ht="125" customHeight="1">
      <c r="B5" s="2" t="inlineStr">
        <is>
          <t>Gruppenumarmung</t>
        </is>
      </c>
      <c r="C5" s="2" t="inlineStr">
        <is>
          <t>Schlagzeuger steht auf</t>
        </is>
      </c>
      <c r="D5" s="2" t="inlineStr">
        <is>
          <t>Gebärdensprache</t>
        </is>
      </c>
      <c r="E5" s="2" t="inlineStr">
        <is>
          <t>Nachbar-Stimmen</t>
        </is>
      </c>
      <c r="F5" s="2" t="inlineStr">
        <is>
          <t>Politisches Statement</t>
        </is>
      </c>
    </row>
    <row r="6" ht="125" customHeight="1">
      <c r="B6" s="2" t="inlineStr">
        <is>
          <t>Chaos bei der Startreihenfolge</t>
        </is>
      </c>
      <c r="C6" s="2" t="inlineStr">
        <is>
          <t>Textaussetzer</t>
        </is>
      </c>
      <c r="D6" s="2" t="inlineStr">
        <is>
          <t>Nul-Points-Witz</t>
        </is>
      </c>
      <c r="E6" s="2" t="inlineStr">
        <is>
          <t>Riesenflagge im Publikum</t>
        </is>
      </c>
      <c r="F6" s="2" t="inlineStr">
        <is>
          <t>Douze-Points-Ruf</t>
        </is>
      </c>
    </row>
  </sheetData>
  <conditionalFormatting sqref="B2:F6">
    <cfRule type="duplicateValues" priority="20" dxfId="24"/>
  </conditionalFormatting>
  <pageMargins left="0.7086614173228347" right="0.7086614173228347" top="0.7480314960629921" bottom="0.7480314960629921" header="0.3149606299212598" footer="0.3149606299212598"/>
  <pageSetup orientation="portrait" paperSize="9" scale="71" horizontalDpi="0" verticalDpi="0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W33"/>
  <sheetViews>
    <sheetView zoomScale="81" zoomScaleNormal="140" workbookViewId="0">
      <selection activeCell="D17" sqref="D17"/>
    </sheetView>
  </sheetViews>
  <sheetFormatPr baseColWidth="10" defaultRowHeight="16"/>
  <cols>
    <col width="16.83203125" bestFit="1" customWidth="1" min="3" max="3"/>
    <col width="11.1640625" customWidth="1" min="7" max="7"/>
  </cols>
  <sheetData>
    <row r="1">
      <c r="A1" s="30" t="n">
        <v>2026</v>
      </c>
    </row>
    <row r="2">
      <c r="B2" s="29" t="inlineStr">
        <is>
          <t>Results</t>
        </is>
      </c>
      <c r="F2" s="26" t="inlineStr">
        <is>
          <t>Flowieendo</t>
        </is>
      </c>
      <c r="G2" s="29" t="inlineStr">
        <is>
          <t>Points</t>
        </is>
      </c>
      <c r="H2" s="27" t="inlineStr">
        <is>
          <t>Annika</t>
        </is>
      </c>
      <c r="I2" s="29" t="inlineStr">
        <is>
          <t>Points</t>
        </is>
      </c>
      <c r="J2" s="27" t="inlineStr">
        <is>
          <t>Mama</t>
        </is>
      </c>
      <c r="K2" s="29" t="inlineStr">
        <is>
          <t>Points</t>
        </is>
      </c>
      <c r="L2" s="27" t="inlineStr">
        <is>
          <t>Lars</t>
        </is>
      </c>
      <c r="M2" s="29" t="inlineStr">
        <is>
          <t>Points</t>
        </is>
      </c>
      <c r="N2" s="27" t="inlineStr">
        <is>
          <t>Katha</t>
        </is>
      </c>
      <c r="O2" s="29" t="inlineStr">
        <is>
          <t>Points</t>
        </is>
      </c>
      <c r="P2" s="27" t="inlineStr">
        <is>
          <t>Timo</t>
        </is>
      </c>
      <c r="Q2" s="29" t="inlineStr">
        <is>
          <t>Points</t>
        </is>
      </c>
      <c r="R2" s="27" t="inlineStr">
        <is>
          <t>Henning</t>
        </is>
      </c>
      <c r="S2" s="29" t="inlineStr">
        <is>
          <t>Points</t>
        </is>
      </c>
      <c r="T2" s="27" t="inlineStr">
        <is>
          <t>Krise</t>
        </is>
      </c>
      <c r="U2" s="29" t="inlineStr">
        <is>
          <t>Points</t>
        </is>
      </c>
      <c r="V2" s="27" t="inlineStr">
        <is>
          <t>Johannes</t>
        </is>
      </c>
      <c r="W2" s="29" t="inlineStr">
        <is>
          <t>Points</t>
        </is>
      </c>
    </row>
    <row r="3">
      <c r="A3" s="29" t="n">
        <v>1</v>
      </c>
      <c r="B3" s="29" t="inlineStr">
        <is>
          <t>Bulgaria</t>
        </is>
      </c>
      <c r="C3" s="29" t="n"/>
      <c r="D3" s="29" t="n"/>
      <c r="F3" s="29" t="inlineStr">
        <is>
          <t>Finland</t>
        </is>
      </c>
      <c r="G3" s="29">
        <f>IF(F3=$B3,4,0) + IF(F3=$B4,2,0) + IF(OR(F3=$B5,F3=$B6,F3=$B7),1,0)</f>
        <v/>
      </c>
      <c r="H3" s="28" t="inlineStr">
        <is>
          <t>Finland</t>
        </is>
      </c>
      <c r="I3" s="29">
        <f>IF(H3=$B3,4,0) + IF(H3=$B4,2,0) + IF(OR(H3=$B5,H3=$B6,H3=$B7),1,0)</f>
        <v/>
      </c>
      <c r="J3" s="28" t="inlineStr">
        <is>
          <t>Sweden</t>
        </is>
      </c>
      <c r="K3" s="29">
        <f>IF(J3=$B3,4,0) + IF(J3=$B4,2,0) + IF(OR(J3=$B5,J3=$B6,J3=$B7),1,0)</f>
        <v/>
      </c>
      <c r="L3" s="28" t="inlineStr">
        <is>
          <t>Finland</t>
        </is>
      </c>
      <c r="M3" s="29">
        <f>IF(L3=$B3,4,0) + IF(L3=$B4,2,0) + IF(OR(L3=$B5,L3=$B6,L3=$B7),1,0)</f>
        <v/>
      </c>
      <c r="N3" s="28" t="inlineStr">
        <is>
          <t>Finland</t>
        </is>
      </c>
      <c r="O3" s="29">
        <f>IF(N3=$B3,4,0) + IF(N3=$B4,2,0) + IF(OR(N3=$B5,N3=$B6,N3=$B7),1,0)</f>
        <v/>
      </c>
      <c r="P3" s="28" t="inlineStr">
        <is>
          <t>Denmark</t>
        </is>
      </c>
      <c r="Q3" s="29">
        <f>IF(P3=$B3,4,0) + IF(P3=$B4,2,0) + IF(OR(P3=$B5,P3=$B6,P3=$B7),1,0)</f>
        <v/>
      </c>
      <c r="R3" s="28" t="inlineStr">
        <is>
          <t>Finland</t>
        </is>
      </c>
      <c r="S3" s="29">
        <f>IF(R3=$B3,4,0) + IF(R3=$B4,2,0) + IF(OR(R3=$B5,R3=$B6,R3=$B7),1,0)</f>
        <v/>
      </c>
      <c r="T3" s="28" t="inlineStr">
        <is>
          <t>Sweden</t>
        </is>
      </c>
      <c r="U3" s="29">
        <f>IF(T3=$B3,4,0) + IF(T3=$B4,2,0) + IF(OR(T3=$B5,T3=$B6,T3=$B7),1,0)</f>
        <v/>
      </c>
      <c r="V3" s="28" t="inlineStr">
        <is>
          <t>Ukraine</t>
        </is>
      </c>
      <c r="W3" s="29">
        <f>IF(V3=$B3,4,0) + IF(V3=$B4,2,0) + IF(OR(V3=$B5,V3=$B6,V3=$B7),1,0)</f>
        <v/>
      </c>
    </row>
    <row r="4">
      <c r="A4" s="29" t="n">
        <v>2</v>
      </c>
      <c r="B4" s="29" t="inlineStr">
        <is>
          <t>Israel</t>
        </is>
      </c>
      <c r="C4" s="29" t="n"/>
      <c r="D4" s="29" t="inlineStr">
        <is>
          <t>Jury 2</t>
        </is>
      </c>
      <c r="F4" s="29" t="inlineStr">
        <is>
          <t>Australia</t>
        </is>
      </c>
      <c r="G4" s="29">
        <f>IF(F4=$B4,4,0) + IF(OR(F4=$B5,F4=$B3),2,0) + IF(OR(F4=$B6,F4=$B7),1,0)</f>
        <v/>
      </c>
      <c r="H4" s="28" t="inlineStr">
        <is>
          <t>Greece</t>
        </is>
      </c>
      <c r="I4" s="29">
        <f>IF(H4=$B4,4,0) + IF(OR(H4=$B5,H4=$B3),2,0) + IF(OR(H4=$B6,H4=$B7),1,0)</f>
        <v/>
      </c>
      <c r="J4" s="28" t="inlineStr">
        <is>
          <t>Australia</t>
        </is>
      </c>
      <c r="K4" s="29">
        <f>IF(J4=$B4,4,0) + IF(OR(J4=$B5,J4=$B3),2,0) + IF(OR(J4=$B6,J4=$B7),1,0)</f>
        <v/>
      </c>
      <c r="L4" s="28" t="inlineStr">
        <is>
          <t>Ukraine</t>
        </is>
      </c>
      <c r="M4" s="29">
        <f>IF(L4=$B4,4,0) + IF(OR(L4=$B5,L4=$B3),2,0) + IF(OR(L4=$B6,L4=$B7),1,0)</f>
        <v/>
      </c>
      <c r="N4" s="28" t="inlineStr">
        <is>
          <t>Sweden</t>
        </is>
      </c>
      <c r="O4" s="29">
        <f>IF(N4=$B4,4,0) + IF(OR(N4=$B5,N4=$B3),2,0) + IF(OR(N4=$B6,N4=$B7),1,0)</f>
        <v/>
      </c>
      <c r="P4" s="28" t="inlineStr">
        <is>
          <t>Romania</t>
        </is>
      </c>
      <c r="Q4" s="29">
        <f>IF(P4=$B4,4,0) + IF(OR(P4=$B5,P4=$B3),2,0) + IF(OR(P4=$B6,P4=$B7),1,0)</f>
        <v/>
      </c>
      <c r="R4" s="28" t="inlineStr">
        <is>
          <t>France</t>
        </is>
      </c>
      <c r="S4" s="29">
        <f>IF(R4=$B4,4,0) + IF(OR(R4=$B5,R4=$B3),2,0) + IF(OR(R4=$B6,R4=$B7),1,0)</f>
        <v/>
      </c>
      <c r="T4" s="28" t="inlineStr">
        <is>
          <t>Moldova</t>
        </is>
      </c>
      <c r="U4" s="29">
        <f>IF(T4=$B4,4,0) + IF(OR(T4=$B5,T4=$B3),2,0) + IF(OR(T4=$B6,T4=$B7),1,0)</f>
        <v/>
      </c>
      <c r="V4" s="28" t="inlineStr">
        <is>
          <t>France</t>
        </is>
      </c>
      <c r="W4" s="29">
        <f>IF(V4=$B4,4,0) + IF(OR(V4=$B5,V4=$B3),2,0) + IF(OR(V4=$B6,V4=$B7),1,0)</f>
        <v/>
      </c>
    </row>
    <row r="5">
      <c r="A5" s="29" t="n">
        <v>3</v>
      </c>
      <c r="B5" s="29" t="inlineStr">
        <is>
          <t>Romania</t>
        </is>
      </c>
      <c r="C5" s="29" t="n"/>
      <c r="D5" s="29" t="inlineStr">
        <is>
          <t>Denmark</t>
        </is>
      </c>
      <c r="F5" s="29" t="inlineStr">
        <is>
          <t>Greece</t>
        </is>
      </c>
      <c r="G5" s="29">
        <f>IF(F5=$B5,4,0) + IF(OR(F5=$B6,F5=$B4),2,0) + IF(OR(F5=$B7,F5=$B3),1,0)</f>
        <v/>
      </c>
      <c r="H5" s="28" t="inlineStr">
        <is>
          <t>Australia</t>
        </is>
      </c>
      <c r="I5" s="29">
        <f>IF(H5=$B5,4,0) + IF(OR(H5=$B6,H5=$B4),2,0) + IF(OR(H5=$B7,H5=$B3),1,0)</f>
        <v/>
      </c>
      <c r="J5" s="28" t="inlineStr">
        <is>
          <t>Greece</t>
        </is>
      </c>
      <c r="K5" s="29">
        <f>IF(J5=$B5,4,0) + IF(OR(J5=$B6,J5=$B4),2,0) + IF(OR(J5=$B7,J5=$B3),1,0)</f>
        <v/>
      </c>
      <c r="L5" s="28" t="inlineStr">
        <is>
          <t>Australia</t>
        </is>
      </c>
      <c r="M5" s="29">
        <f>IF(L5=$B5,4,0) + IF(OR(L5=$B6,L5=$B4),2,0) + IF(OR(L5=$B7,L5=$B3),1,0)</f>
        <v/>
      </c>
      <c r="N5" s="28" t="inlineStr">
        <is>
          <t>Romania</t>
        </is>
      </c>
      <c r="O5" s="29">
        <f>IF(N5=$B5,4,0) + IF(OR(N5=$B6,N5=$B4),2,0) + IF(OR(N5=$B7,N5=$B3),1,0)</f>
        <v/>
      </c>
      <c r="P5" s="28" t="inlineStr">
        <is>
          <t>Finland</t>
        </is>
      </c>
      <c r="Q5" s="29">
        <f>IF(P5=$B5,4,0) + IF(OR(P5=$B6,P5=$B4),2,0) + IF(OR(P5=$B7,P5=$B3),1,0)</f>
        <v/>
      </c>
      <c r="R5" s="28" t="inlineStr">
        <is>
          <t>Greece</t>
        </is>
      </c>
      <c r="S5" s="29">
        <f>IF(R5=$B5,4,0) + IF(OR(R5=$B6,R5=$B4),2,0) + IF(OR(R5=$B7,R5=$B3),1,0)</f>
        <v/>
      </c>
      <c r="T5" s="28" t="inlineStr">
        <is>
          <t>Australia</t>
        </is>
      </c>
      <c r="U5" s="29">
        <f>IF(T5=$B5,4,0) + IF(OR(T5=$B6,T5=$B4),2,0) + IF(OR(T5=$B7,T5=$B3),1,0)</f>
        <v/>
      </c>
      <c r="V5" s="28" t="inlineStr">
        <is>
          <t>Moldova</t>
        </is>
      </c>
      <c r="W5" s="29">
        <f>IF(V5=$B5,4,0) + IF(OR(V5=$B6,V5=$B4),2,0) + IF(OR(V5=$B7,V5=$B3),1,0)</f>
        <v/>
      </c>
    </row>
    <row r="6">
      <c r="A6" s="29" t="n">
        <v>4</v>
      </c>
      <c r="B6" s="29" t="inlineStr">
        <is>
          <t>Australia</t>
        </is>
      </c>
      <c r="C6" s="29" t="n"/>
      <c r="D6" s="29" t="n"/>
      <c r="F6" s="29" t="inlineStr">
        <is>
          <t>France</t>
        </is>
      </c>
      <c r="G6" s="29">
        <f>IF(F6=$B6,4,0) + IF(OR(F6=$B7,F6=$B5),2,0) + IF(OR(F6=$B3,F6=$B4,F6=$C7),1,0)</f>
        <v/>
      </c>
      <c r="H6" s="28" t="inlineStr">
        <is>
          <t>Sweden</t>
        </is>
      </c>
      <c r="I6" s="29">
        <f>IF(H6=$B6,4,0) + IF(OR(H6=$B7,H6=$B5),2,0) + IF(OR(H6=$B3,H6=$B4,H6=$C7),1,0)</f>
        <v/>
      </c>
      <c r="J6" s="28" t="inlineStr">
        <is>
          <t>France</t>
        </is>
      </c>
      <c r="K6" s="29">
        <f>IF(J6=$B6,4,0) + IF(OR(J6=$B7,J6=$B5),2,0) + IF(OR(J6=$B3,J6=$B4,J6=$C7),1,0)</f>
        <v/>
      </c>
      <c r="L6" s="28" t="inlineStr">
        <is>
          <t>Greece</t>
        </is>
      </c>
      <c r="M6" s="29">
        <f>IF(L6=$B6,4,0) + IF(OR(L6=$B7,L6=$B5),2,0) + IF(OR(L6=$B3,L6=$B4,L6=$C7),1,0)</f>
        <v/>
      </c>
      <c r="N6" s="28" t="inlineStr">
        <is>
          <t>Albania</t>
        </is>
      </c>
      <c r="O6" s="29">
        <f>IF(N6=$B6,4,0) + IF(OR(N6=$B7,N6=$B5),2,0) + IF(OR(N6=$B3,N6=$B4,N6=$C7),1,0)</f>
        <v/>
      </c>
      <c r="P6" s="28" t="inlineStr">
        <is>
          <t>Sweden</t>
        </is>
      </c>
      <c r="Q6" s="29">
        <f>IF(P6=$B6,4,0) + IF(OR(P6=$B7,P6=$B5),2,0) + IF(OR(P6=$B3,P6=$B4,P6=$C7),1,0)</f>
        <v/>
      </c>
      <c r="R6" s="28" t="inlineStr">
        <is>
          <t>Bulgaria</t>
        </is>
      </c>
      <c r="S6" s="29">
        <f>IF(R6=$B6,4,0) + IF(OR(R6=$B7,R6=$B5),2,0) + IF(OR(R6=$B3,R6=$B4,R6=$C7),1,0)</f>
        <v/>
      </c>
      <c r="T6" s="28" t="inlineStr">
        <is>
          <t>Greece</t>
        </is>
      </c>
      <c r="U6" s="29">
        <f>IF(T6=$B6,4,0) + IF(OR(T6=$B7,T6=$B5),2,0) + IF(OR(T6=$B3,T6=$B4,T6=$C7),1,0)</f>
        <v/>
      </c>
      <c r="V6" s="28" t="inlineStr">
        <is>
          <t>Israel</t>
        </is>
      </c>
      <c r="W6" s="29">
        <f>IF(V6=$B6,4,0) + IF(OR(V6=$B7,V6=$B5),2,0) + IF(OR(V6=$B3,V6=$B4,V6=$C7),1,0)</f>
        <v/>
      </c>
    </row>
    <row r="7">
      <c r="A7" s="29" t="n">
        <v>5</v>
      </c>
      <c r="B7" s="29" t="inlineStr">
        <is>
          <t>Italy</t>
        </is>
      </c>
      <c r="C7" s="29" t="inlineStr">
        <is>
          <t>Finland</t>
        </is>
      </c>
      <c r="D7" s="29" t="inlineStr">
        <is>
          <t>Denmark</t>
        </is>
      </c>
      <c r="F7" s="29" t="inlineStr">
        <is>
          <t>Sweden</t>
        </is>
      </c>
      <c r="G7" s="29">
        <f>IF(F7=$B7,4,0) + IF(OR(F7=$C7,F7=$B6),2,0) + IF(OR(F7=$B4,F7=$B5,F7=$D7,F7=$B3),1,0)</f>
        <v/>
      </c>
      <c r="H7" s="28" t="inlineStr">
        <is>
          <t>Albania</t>
        </is>
      </c>
      <c r="I7" s="29">
        <f>IF(H7=$B7,4,0) + IF(OR(H7=$C7,H7=$B6),2,0) + IF(OR(H7=$B4,H7=$B5,H7=$D7,H7=$B3),1,0)</f>
        <v/>
      </c>
      <c r="J7" s="28" t="inlineStr">
        <is>
          <t>Austria</t>
        </is>
      </c>
      <c r="K7" s="29">
        <f>IF(J7=$B7,4,0) + IF(OR(J7=$C7,J7=$B6),2,0) + IF(OR(J7=$B4,J7=$B5,J7=$D7,J7=$B3),1,0)</f>
        <v/>
      </c>
      <c r="L7" s="28" t="inlineStr">
        <is>
          <t>Romania</t>
        </is>
      </c>
      <c r="M7" s="29">
        <f>IF(L7=$B7,4,0) + IF(OR(L7=$C7,L7=$B6),2,0) + IF(OR(L7=$B4,L7=$B5,L7=$D7,L7=$B3),1,0)</f>
        <v/>
      </c>
      <c r="N7" s="28" t="inlineStr">
        <is>
          <t>Australia</t>
        </is>
      </c>
      <c r="O7" s="29">
        <f>IF(N7=$B7,4,0) + IF(OR(N7=$C7,N7=$B6),2,0) + IF(OR(N7=$B4,N7=$B5,N7=$D7,N7=$B3),1,0)</f>
        <v/>
      </c>
      <c r="P7" s="28" t="inlineStr">
        <is>
          <t>Croatia</t>
        </is>
      </c>
      <c r="Q7" s="29">
        <f>IF(P7=$B7,4,0) + IF(OR(P7=$C7,P7=$B6),2,0) + IF(OR(P7=$B4,P7=$B5,P7=$D7,P7=$B3),1,0)</f>
        <v/>
      </c>
      <c r="R7" s="28" t="inlineStr">
        <is>
          <t>Israel</t>
        </is>
      </c>
      <c r="S7" s="29">
        <f>IF(R7=$B7,4,0) + IF(OR(R7=$C7,R7=$B6),2,0) + IF(OR(R7=$B4,R7=$B5,R7=$D7,R7=$B3),1,0)</f>
        <v/>
      </c>
      <c r="T7" s="28" t="inlineStr">
        <is>
          <t>Ukraine</t>
        </is>
      </c>
      <c r="U7" s="29">
        <f>IF(T7=$B7,4,0) + IF(OR(T7=$C7,T7=$B6),2,0) + IF(OR(T7=$B4,T7=$B5,T7=$D7,T7=$B3),1,0)</f>
        <v/>
      </c>
      <c r="V7" s="28" t="inlineStr">
        <is>
          <t>Sweden</t>
        </is>
      </c>
      <c r="W7" s="29">
        <f>IF(V7=$B7,4,0) + IF(OR(V7=$C7,V7=$B6),2,0) + IF(OR(V7=$B4,V7=$B5,V7=$D7,V7=$B3),1,0)</f>
        <v/>
      </c>
    </row>
    <row r="8">
      <c r="A8" s="29" t="inlineStr">
        <is>
          <t>Last</t>
        </is>
      </c>
      <c r="B8" s="29" t="inlineStr">
        <is>
          <t>UK</t>
        </is>
      </c>
      <c r="C8" s="29" t="inlineStr">
        <is>
          <t>Austria</t>
        </is>
      </c>
      <c r="D8" s="29" t="inlineStr">
        <is>
          <t>Germany</t>
        </is>
      </c>
      <c r="F8" s="29" t="inlineStr">
        <is>
          <t>UK</t>
        </is>
      </c>
      <c r="G8" s="29">
        <f>IF(F8=$B8,4,0) + IF(OR(F8=$C8),2,0) + IF(F8=$D8,1,0)</f>
        <v/>
      </c>
      <c r="H8" s="28" t="inlineStr">
        <is>
          <t>Serbia</t>
        </is>
      </c>
      <c r="I8" s="29">
        <f>IF(H8=$B8,4,0) + IF(OR(H8=$C8),2,0) + IF(H8=$D8,1,0)</f>
        <v/>
      </c>
      <c r="J8" s="28" t="inlineStr">
        <is>
          <t>UK</t>
        </is>
      </c>
      <c r="K8" s="29">
        <f>IF(J8=$B8,4,0) + IF(OR(J8=$C8),2,0) + IF(J8=$D8,1,0)</f>
        <v/>
      </c>
      <c r="L8" s="28" t="inlineStr">
        <is>
          <t>Belgium</t>
        </is>
      </c>
      <c r="M8" s="29">
        <f>IF(L8=$B8,4,0) + IF(OR(L8=$C8),2,0) + IF(L8=$D8,1,0)</f>
        <v/>
      </c>
      <c r="N8" s="28" t="inlineStr">
        <is>
          <t>Malta</t>
        </is>
      </c>
      <c r="O8" s="29">
        <f>IF(N8=$B8,4,0) + IF(OR(N8=$C8),2,0) + IF(N8=$D8,1,0)</f>
        <v/>
      </c>
      <c r="P8" s="28" t="inlineStr">
        <is>
          <t>UK</t>
        </is>
      </c>
      <c r="Q8" s="29">
        <f>IF(P8=$B8,4,0) + IF(OR(P8=$C8),2,0) + IF(P8=$D8,1,0)</f>
        <v/>
      </c>
      <c r="R8" s="28" t="inlineStr">
        <is>
          <t>Austria</t>
        </is>
      </c>
      <c r="S8" s="29">
        <f>IF(R8=$B8,4,0) + IF(OR(R8=$C8),2,0) + IF(R8=$D8,1,0)</f>
        <v/>
      </c>
      <c r="T8" s="28" t="inlineStr">
        <is>
          <t>UK</t>
        </is>
      </c>
      <c r="U8" s="29">
        <f>IF(T8=$B8,4,0) + IF(OR(T8=$C8),2,0) + IF(T8=$D8,1,0)</f>
        <v/>
      </c>
      <c r="V8" s="28" t="inlineStr">
        <is>
          <t>UK</t>
        </is>
      </c>
      <c r="W8" s="29">
        <f>IF(V8=$B8,4,0) + IF(OR(V8=$C8),2,0) + IF(V8=$D8,1,0)</f>
        <v/>
      </c>
    </row>
    <row r="9">
      <c r="A9" s="29" t="inlineStr">
        <is>
          <t>Jury</t>
        </is>
      </c>
      <c r="B9" s="29" t="inlineStr">
        <is>
          <t>Bulgaria</t>
        </is>
      </c>
      <c r="C9" s="29" t="inlineStr">
        <is>
          <t>Australia</t>
        </is>
      </c>
      <c r="D9" s="29" t="inlineStr">
        <is>
          <t>France</t>
        </is>
      </c>
      <c r="F9" s="29" t="inlineStr">
        <is>
          <t>Finland</t>
        </is>
      </c>
      <c r="G9" s="29">
        <f>IF(F9=$B9,4,0) + IF(OR(F9=$C9,F9=$D5),2,0) + IF(F9=$D9,1,0)</f>
        <v/>
      </c>
      <c r="H9" s="28" t="inlineStr">
        <is>
          <t>Finland</t>
        </is>
      </c>
      <c r="I9" s="29">
        <f>IF(H9=$B9,4,0) + IF(OR(H9=$C9,H9=$D5),2,0) + IF(H9=$D9,1,0)</f>
        <v/>
      </c>
      <c r="J9" s="28" t="inlineStr">
        <is>
          <t>Finland</t>
        </is>
      </c>
      <c r="K9" s="29">
        <f>IF(J9=$B9,4,0) + IF(OR(J9=$C9,J9=$D5),2,0) + IF(J9=$D9,1,0)</f>
        <v/>
      </c>
      <c r="L9" s="28" t="inlineStr">
        <is>
          <t>Finland</t>
        </is>
      </c>
      <c r="M9" s="29">
        <f>IF(L9=$B9,4,0) + IF(OR(L9=$C9,L9=$D5),2,0) + IF(L9=$D9,1,0)</f>
        <v/>
      </c>
      <c r="N9" s="28" t="inlineStr">
        <is>
          <t>Australia</t>
        </is>
      </c>
      <c r="O9" s="29">
        <f>IF(N9=$B9,4,0) + IF(OR(N9=$C9,N9=$D5),2,0) + IF(N9=$D9,1,0)</f>
        <v/>
      </c>
      <c r="P9" s="28" t="inlineStr">
        <is>
          <t>Finland</t>
        </is>
      </c>
      <c r="Q9" s="29">
        <f>IF(P9=$B9,4,0) + IF(OR(P9=$C9,P9=$D5),2,0) + IF(P9=$D9,1,0)</f>
        <v/>
      </c>
      <c r="R9" s="28" t="inlineStr">
        <is>
          <t>France</t>
        </is>
      </c>
      <c r="S9" s="29">
        <f>IF(R9=$B9,4,0) + IF(OR(R9=$C9,R9=$D5),2,0) + IF(R9=$D9,1,0)</f>
        <v/>
      </c>
      <c r="T9" s="28" t="inlineStr">
        <is>
          <t>Sweden</t>
        </is>
      </c>
      <c r="U9" s="29">
        <f>IF(T9=$B9,4,0) + IF(OR(T9=$C9,T9=$D5),2,0) + IF(T9=$D9,1,0)</f>
        <v/>
      </c>
      <c r="V9" s="28" t="inlineStr">
        <is>
          <t>Ukraine</t>
        </is>
      </c>
      <c r="W9" s="29">
        <f>IF(V9=$B9,4,0) + IF(OR(V9=$C9,V9=$D5),2,0) + IF(V9=$D9,1,0)</f>
        <v/>
      </c>
    </row>
    <row r="10">
      <c r="A10" s="29" t="inlineStr">
        <is>
          <t>Tele</t>
        </is>
      </c>
      <c r="B10" s="29" t="inlineStr">
        <is>
          <t>Bulgaria</t>
        </is>
      </c>
      <c r="C10" s="29" t="inlineStr">
        <is>
          <t>Romania</t>
        </is>
      </c>
      <c r="D10" s="29" t="inlineStr">
        <is>
          <t>Israel</t>
        </is>
      </c>
      <c r="F10" s="29" t="inlineStr">
        <is>
          <t>Greece</t>
        </is>
      </c>
      <c r="G10" s="29">
        <f>IF(F10=$B10,4,0) + IF(OR(F10=$C10),2,0) + IF(F10=$D10,1,0)</f>
        <v/>
      </c>
      <c r="H10" s="28" t="inlineStr">
        <is>
          <t>Israel</t>
        </is>
      </c>
      <c r="I10" s="29">
        <f>IF(H10=$B10,4,0) + IF(OR(H10=$C10),2,0) + IF(H10=$D10,1,0)</f>
        <v/>
      </c>
      <c r="J10" s="28" t="inlineStr">
        <is>
          <t>Sweden</t>
        </is>
      </c>
      <c r="K10" s="29">
        <f>IF(J10=$B10,4,0) + IF(OR(J10=$C10),2,0) + IF(J10=$D10,1,0)</f>
        <v/>
      </c>
      <c r="L10" s="28" t="inlineStr">
        <is>
          <t>Ukraine</t>
        </is>
      </c>
      <c r="M10" s="29">
        <f>IF(L10=$B10,4,0) + IF(OR(L10=$C10),2,0) + IF(L10=$D10,1,0)</f>
        <v/>
      </c>
      <c r="N10" s="28" t="inlineStr">
        <is>
          <t>Sweden</t>
        </is>
      </c>
      <c r="O10" s="29">
        <f>IF(N10=$B10,4,0) + IF(OR(N10=$C10),2,0) + IF(N10=$D10,1,0)</f>
        <v/>
      </c>
      <c r="P10" s="28" t="inlineStr">
        <is>
          <t>Romania</t>
        </is>
      </c>
      <c r="Q10" s="29">
        <f>IF(P10=$B10,4,0) + IF(OR(P10=$C10),2,0) + IF(P10=$D10,1,0)</f>
        <v/>
      </c>
      <c r="R10" s="28" t="inlineStr">
        <is>
          <t>Greece</t>
        </is>
      </c>
      <c r="S10" s="29">
        <f>IF(R10=$B10,4,0) + IF(OR(R10=$C10),2,0) + IF(R10=$D10,1,0)</f>
        <v/>
      </c>
      <c r="T10" s="28" t="inlineStr">
        <is>
          <t>Sweden</t>
        </is>
      </c>
      <c r="U10" s="29">
        <f>IF(T10=$B10,4,0) + IF(OR(T10=$C10),2,0) + IF(T10=$D10,1,0)</f>
        <v/>
      </c>
      <c r="V10" s="28" t="inlineStr">
        <is>
          <t>Moldova</t>
        </is>
      </c>
      <c r="W10" s="29">
        <f>IF(V10=$B10,4,0) + IF(OR(V10=$C10),2,0) + IF(V10=$D10,1,0)</f>
        <v/>
      </c>
    </row>
    <row r="11">
      <c r="A11" s="29" t="inlineStr">
        <is>
          <t>Germany</t>
        </is>
      </c>
      <c r="B11" s="29" t="n">
        <v>23</v>
      </c>
      <c r="C11" s="29" t="n"/>
      <c r="D11" s="29" t="n"/>
      <c r="F11" s="29" t="n">
        <v>18</v>
      </c>
      <c r="G11" s="29">
        <f>IF(F11=$B11,4,0) + IF(OR(F11=$B11+1, F11=$B11-1),2,0) + IF(OR(F11=$B11+2, F11=$B11-2),1,0)</f>
        <v/>
      </c>
      <c r="H11" s="28" t="n">
        <v>23</v>
      </c>
      <c r="I11" s="29">
        <f>IF(H11=$B11,4,0) + IF(OR(H11=$B11+1, H11=$B11-1),2,0) + IF(OR(H11=$B11+2, H11=$B11-2),1,0)</f>
        <v/>
      </c>
      <c r="J11" s="28" t="n">
        <v>9</v>
      </c>
      <c r="K11" s="29">
        <f>IF(J11=$B11,4,0) + IF(OR(J11=$B11+1, J11=$B11-1),2,0) + IF(OR(J11=$B11+2, J11=$B11-2),1,0)</f>
        <v/>
      </c>
      <c r="L11" s="28" t="n">
        <v>19</v>
      </c>
      <c r="M11" s="29">
        <f>IF(L11=$B11,4,0) + IF(OR(L11=$B11+1, L11=$B11-1),2,0) + IF(OR(L11=$B11+2, L11=$B11-2),1,0)</f>
        <v/>
      </c>
      <c r="N11" s="28" t="n">
        <v>12</v>
      </c>
      <c r="O11" s="29">
        <f>IF(N11=$B11,4,0) + IF(OR(N11=$B11+1, N11=$B11-1),2,0) + IF(OR(N11=$B11+2, N11=$B11-2),1,0)</f>
        <v/>
      </c>
      <c r="P11" s="28" t="n">
        <v>20</v>
      </c>
      <c r="Q11" s="29">
        <f>IF(P11=$B11,4,0) + IF(OR(P11=$B11+1, P11=$B11-1),2,0) + IF(OR(P11=$B11+2, P11=$B11-2),1,0)</f>
        <v/>
      </c>
      <c r="R11" s="28" t="n">
        <v>22</v>
      </c>
      <c r="S11" s="29">
        <f>IF(R11=$B11,4,0) + IF(OR(R11=$B11+1, R11=$B11-1),2,0) + IF(OR(R11=$B11+2, R11=$B11-2),1,0)</f>
        <v/>
      </c>
      <c r="T11" s="28" t="n">
        <v>24</v>
      </c>
      <c r="U11" s="29">
        <f>IF(T11=$B11,4,0) + IF(OR(T11=$B11+1, T11=$B11-1),2,0) + IF(OR(T11=$B11+2, T11=$B11-2),1,0)</f>
        <v/>
      </c>
      <c r="V11" s="28" t="n">
        <v>22</v>
      </c>
      <c r="W11" s="29">
        <f>IF(V11=$B11,4,0) + IF(OR(V11=$B11+1, V11=$B11-1),2,0) + IF(OR(V11=$B11+2, V11=$B11-2),1,0)</f>
        <v/>
      </c>
    </row>
    <row r="12">
      <c r="F12" s="29" t="n"/>
      <c r="G12" s="29" t="n"/>
      <c r="H12" s="28" t="n"/>
      <c r="I12" s="29" t="n"/>
      <c r="J12" s="28" t="n"/>
      <c r="K12" s="29" t="n"/>
      <c r="L12" s="28" t="n"/>
      <c r="M12" s="29" t="n"/>
      <c r="N12" s="28" t="n"/>
      <c r="O12" s="29" t="n"/>
      <c r="P12" s="28" t="n"/>
      <c r="Q12" s="29" t="n"/>
      <c r="R12" s="28" t="n"/>
      <c r="S12" s="29" t="n"/>
      <c r="T12" s="28" t="n"/>
      <c r="U12" s="29" t="n"/>
      <c r="V12" s="28" t="n"/>
      <c r="W12" s="29" t="n"/>
    </row>
    <row r="13">
      <c r="F13" s="29" t="inlineStr">
        <is>
          <t>Sum</t>
        </is>
      </c>
      <c r="G13" s="29">
        <f>SUM(G3:G11)</f>
        <v/>
      </c>
      <c r="H13" s="28" t="inlineStr">
        <is>
          <t>Sum</t>
        </is>
      </c>
      <c r="I13" s="29">
        <f>SUM(I3:I11)</f>
        <v/>
      </c>
      <c r="J13" s="28" t="inlineStr">
        <is>
          <t>Sum</t>
        </is>
      </c>
      <c r="K13" s="29">
        <f>SUM(K3:K11)</f>
        <v/>
      </c>
      <c r="L13" s="28" t="inlineStr">
        <is>
          <t>Sum</t>
        </is>
      </c>
      <c r="M13" s="29">
        <f>SUM(M3:M11)</f>
        <v/>
      </c>
      <c r="N13" s="28" t="inlineStr">
        <is>
          <t>Sum</t>
        </is>
      </c>
      <c r="O13" s="29">
        <f>SUM(O3:O11)</f>
        <v/>
      </c>
      <c r="P13" s="28" t="inlineStr">
        <is>
          <t>Sum</t>
        </is>
      </c>
      <c r="Q13" s="29">
        <f>SUM(Q3:Q11)</f>
        <v/>
      </c>
      <c r="R13" s="28" t="inlineStr">
        <is>
          <t>Sum</t>
        </is>
      </c>
      <c r="S13" s="29">
        <f>SUM(S3:S11)</f>
        <v/>
      </c>
      <c r="T13" s="28" t="inlineStr">
        <is>
          <t>Sum</t>
        </is>
      </c>
      <c r="U13" s="29">
        <f>SUM(U3:U11)</f>
        <v/>
      </c>
      <c r="V13" s="28" t="inlineStr">
        <is>
          <t>Sum</t>
        </is>
      </c>
      <c r="W13" s="29">
        <f>SUM(W3:W11)</f>
        <v/>
      </c>
    </row>
    <row r="14">
      <c r="F14" s="29" t="inlineStr">
        <is>
          <t>Bonus</t>
        </is>
      </c>
      <c r="G14" s="29">
        <f>IF(AND(G3=4,G8=4),2,0) + IF(AND(G3&gt;0,G8&gt;0),4,0) + IF(AND(G9=4,G10=4),2,0) + IF(AND(G11=4,OR(G3=4,G4=4,G5=4,G6=4,G7=4,G8=4,G9=4,G10=4)),6,0) + IF(AND(G9&gt;0,G10&gt;0),4,0)</f>
        <v/>
      </c>
      <c r="H14" s="28" t="inlineStr">
        <is>
          <t>Bonus</t>
        </is>
      </c>
      <c r="I14" s="29">
        <f>IF(AND(I3=4,I8=4),2,0) + IF(AND(I3&gt;0,I8&gt;0),4,0) + IF(AND(I9=4,I10=4),2,0) + IF(AND(I11=4,OR(I3=4,I4=4,I5=4,I6=4,I7=4,I8=4,I9=4,I10=4)),6,0) + IF(AND(I9&gt;0,I10&gt;0),4,0)</f>
        <v/>
      </c>
      <c r="J14" s="28" t="inlineStr">
        <is>
          <t>Bonus</t>
        </is>
      </c>
      <c r="K14" s="29">
        <f>IF(AND(K3=4,K8=4),2,0) + IF(AND(K3&gt;0,K8&gt;0),4,0) + IF(AND(K9=4,K10=4),2,0) + IF(AND(K11=4,OR(K3=4,K4=4,K5=4,K6=4,K7=4,K8=4,K9=4,K10=4)),6,0) + IF(AND(K9&gt;0,K10&gt;0),4,0)</f>
        <v/>
      </c>
      <c r="L14" s="28" t="inlineStr">
        <is>
          <t>Bonus</t>
        </is>
      </c>
      <c r="M14" s="29">
        <f>IF(AND(M3=4,M8=4),2,0) + IF(AND(M3&gt;0,M8&gt;0),4,0) + IF(AND(M9=4,M10=4),2,0) + IF(AND(M11=4,OR(M3=4,M4=4,M5=4,M6=4,M7=4,M8=4,M9=4,M10=4)),6,0) + IF(AND(M9&gt;0,M10&gt;0),4,0)</f>
        <v/>
      </c>
      <c r="N14" s="28" t="inlineStr">
        <is>
          <t>Bonus</t>
        </is>
      </c>
      <c r="O14" s="29">
        <f>IF(AND(O3=4,O8=4),2,0) + IF(AND(O3&gt;0,O8&gt;0),4,0) + IF(AND(O9=4,O10=4),2,0) + IF(AND(O11=4,OR(O3=4,O4=4,O5=4,O6=4,O7=4,O8=4,O9=4,O10=4)),6,0) + IF(AND(O9&gt;0,O10&gt;0),4,0)</f>
        <v/>
      </c>
      <c r="P14" s="28" t="inlineStr">
        <is>
          <t>Bonus</t>
        </is>
      </c>
      <c r="Q14" s="29">
        <f>IF(AND(Q3=4,Q8=4),2,0) + IF(AND(Q3&gt;0,Q8&gt;0),4,0) + IF(AND(Q9=4,Q10=4),2,0) + IF(AND(Q11=4,OR(Q3=4,Q4=4,Q5=4,Q6=4,Q7=4,Q8=4,Q9=4,Q10=4)),6,0) + IF(AND(Q9&gt;0,Q10&gt;0),4,0)</f>
        <v/>
      </c>
      <c r="R14" s="28" t="inlineStr">
        <is>
          <t>Bonus</t>
        </is>
      </c>
      <c r="S14" s="29">
        <f>IF(AND(S3=4,S8=4),2,0) + IF(AND(S3&gt;0,S8&gt;0),4,0) + IF(AND(S9=4,S10=4),2,0) + IF(AND(S11=4,OR(S3=4,S4=4,S5=4,S6=4,S7=4,S8=4,S9=4,S10=4)),6,0) + IF(AND(S9&gt;0,S10&gt;0),4,0)</f>
        <v/>
      </c>
      <c r="T14" s="28" t="inlineStr">
        <is>
          <t>Bonus</t>
        </is>
      </c>
      <c r="U14" s="29">
        <f>IF(AND(U3=4,U8=4),2,0) + IF(AND(U3&gt;0,U8&gt;0),4,0) + IF(AND(U9=4,U10=4),2,0) + IF(AND(U11=4,OR(U3=4,U4=4,U5=4,U6=4,U7=4,U8=4,U9=4,U10=4)),6,0) + IF(AND(U9&gt;0,U10&gt;0),4,0)</f>
        <v/>
      </c>
      <c r="V14" s="28" t="inlineStr">
        <is>
          <t>Bonus</t>
        </is>
      </c>
      <c r="W14" s="29">
        <f>IF(AND(W3=4,W8=4),2,0) + IF(AND(W3&gt;0,W8&gt;0),4,0) + IF(AND(W9=4,W10=4),2,0) + IF(AND(W11=4,OR(W3=4,W4=4,W5=4,W6=4,W7=4,W8=4,W9=4,W10=4)),6,0) + IF(AND(W9&gt;0,W10&gt;0),4,0)</f>
        <v/>
      </c>
    </row>
    <row r="15">
      <c r="F15" s="26" t="inlineStr">
        <is>
          <t>Total</t>
        </is>
      </c>
      <c r="G15" s="26">
        <f>G13+G14</f>
        <v/>
      </c>
      <c r="H15" s="27" t="inlineStr">
        <is>
          <t>Total</t>
        </is>
      </c>
      <c r="I15" s="26">
        <f>I13+I14</f>
        <v/>
      </c>
      <c r="J15" s="27" t="inlineStr">
        <is>
          <t>Total</t>
        </is>
      </c>
      <c r="K15" s="26">
        <f>K13+K14</f>
        <v/>
      </c>
      <c r="L15" s="27" t="inlineStr">
        <is>
          <t>Total</t>
        </is>
      </c>
      <c r="M15" s="26">
        <f>M13+M14</f>
        <v/>
      </c>
      <c r="N15" s="27" t="inlineStr">
        <is>
          <t>Total</t>
        </is>
      </c>
      <c r="O15" s="26">
        <f>O13+O14</f>
        <v/>
      </c>
      <c r="P15" s="27" t="inlineStr">
        <is>
          <t>Total</t>
        </is>
      </c>
      <c r="Q15" s="26">
        <f>Q13+Q14</f>
        <v/>
      </c>
      <c r="R15" s="27" t="inlineStr">
        <is>
          <t>Total</t>
        </is>
      </c>
      <c r="S15" s="26">
        <f>S13+S14</f>
        <v/>
      </c>
      <c r="T15" s="27" t="inlineStr">
        <is>
          <t>Total</t>
        </is>
      </c>
      <c r="U15" s="26">
        <f>U13+U14</f>
        <v/>
      </c>
      <c r="V15" s="27" t="inlineStr">
        <is>
          <t>Total</t>
        </is>
      </c>
      <c r="W15" s="26">
        <f>W13+W14</f>
        <v/>
      </c>
    </row>
    <row r="19">
      <c r="A19" s="30" t="n">
        <v>2027</v>
      </c>
    </row>
    <row r="20">
      <c r="B20" s="29" t="inlineStr">
        <is>
          <t>Results</t>
        </is>
      </c>
      <c r="F20" s="26" t="inlineStr">
        <is>
          <t>Flowieendo</t>
        </is>
      </c>
      <c r="G20" s="29" t="inlineStr">
        <is>
          <t>Points</t>
        </is>
      </c>
      <c r="H20" s="27" t="inlineStr">
        <is>
          <t>Annika</t>
        </is>
      </c>
      <c r="I20" s="29" t="inlineStr">
        <is>
          <t>Points</t>
        </is>
      </c>
      <c r="J20" s="27" t="inlineStr">
        <is>
          <t>Mama</t>
        </is>
      </c>
      <c r="K20" s="29" t="inlineStr">
        <is>
          <t>Points</t>
        </is>
      </c>
      <c r="L20" s="27" t="inlineStr">
        <is>
          <t>Lars</t>
        </is>
      </c>
      <c r="M20" s="29" t="inlineStr">
        <is>
          <t>Points</t>
        </is>
      </c>
      <c r="N20" s="27" t="inlineStr">
        <is>
          <t>Katha</t>
        </is>
      </c>
      <c r="O20" s="29" t="inlineStr">
        <is>
          <t>Points</t>
        </is>
      </c>
      <c r="P20" s="27" t="inlineStr">
        <is>
          <t>Timo</t>
        </is>
      </c>
      <c r="Q20" s="29" t="inlineStr">
        <is>
          <t>Points</t>
        </is>
      </c>
      <c r="R20" s="27" t="inlineStr">
        <is>
          <t>Henning</t>
        </is>
      </c>
      <c r="S20" s="29" t="inlineStr">
        <is>
          <t>Points</t>
        </is>
      </c>
      <c r="T20" s="27" t="inlineStr">
        <is>
          <t>Krise</t>
        </is>
      </c>
      <c r="U20" s="29" t="inlineStr">
        <is>
          <t>Points</t>
        </is>
      </c>
      <c r="V20" s="27" t="inlineStr">
        <is>
          <t>Johannes</t>
        </is>
      </c>
      <c r="W20" s="29" t="inlineStr">
        <is>
          <t>Points</t>
        </is>
      </c>
    </row>
    <row r="21">
      <c r="A21" s="29" t="n">
        <v>1</v>
      </c>
      <c r="B21" s="29" t="n"/>
      <c r="C21" s="29" t="n"/>
      <c r="D21" s="29" t="n"/>
      <c r="F21" s="29" t="n"/>
      <c r="G21" s="29">
        <f>IF(F21=$B21,4,0) + IF(F21=$B22,2,0) + IF(OR(F21=$B23,F21=$B24,F21=$B25),1,0)</f>
        <v/>
      </c>
      <c r="H21" s="28" t="n"/>
      <c r="I21" s="29">
        <f>IF(H21=$B21,4,0) + IF(H21=$B22,2,0) + IF(OR(H21=$B23,H21=$B24,H21=$B25),1,0)</f>
        <v/>
      </c>
      <c r="J21" s="28" t="n"/>
      <c r="K21" s="29">
        <f>IF(J21=$B21,4,0) + IF(J21=$B22,2,0) + IF(OR(J21=$B23,J21=$B24,J21=$B25),1,0)</f>
        <v/>
      </c>
      <c r="L21" s="28" t="n"/>
      <c r="M21" s="29">
        <f>IF(L21=$B21,4,0) + IF(L21=$B22,2,0) + IF(OR(L21=$B23,L21=$B24,L21=$B25),1,0)</f>
        <v/>
      </c>
      <c r="N21" s="28" t="n"/>
      <c r="O21" s="29">
        <f>IF(N21=$B21,4,0) + IF(N21=$B22,2,0) + IF(OR(N21=$B23,N21=$B24,N21=$B25),1,0)</f>
        <v/>
      </c>
      <c r="P21" s="28" t="n"/>
      <c r="Q21" s="29">
        <f>IF(P21=$B21,4,0) + IF(P21=$B22,2,0) + IF(OR(P21=$B23,P21=$B24,P21=$B25),1,0)</f>
        <v/>
      </c>
      <c r="R21" s="28" t="n"/>
      <c r="S21" s="29">
        <f>IF(R21=$B21,4,0) + IF(R21=$B22,2,0) + IF(OR(R21=$B23,R21=$B24,R21=$B25),1,0)</f>
        <v/>
      </c>
      <c r="T21" s="28" t="n"/>
      <c r="U21" s="29">
        <f>IF(T21=$B21,4,0) + IF(T21=$B22,2,0) + IF(OR(T21=$B23,T21=$B24,T21=$B25),1,0)</f>
        <v/>
      </c>
      <c r="V21" s="28" t="n"/>
      <c r="W21" s="29">
        <f>IF(V21=$B21,4,0) + IF(V21=$B22,2,0) + IF(OR(V21=$B23,V21=$B24,V21=$B25),1,0)</f>
        <v/>
      </c>
    </row>
    <row r="22">
      <c r="A22" s="29" t="n">
        <v>2</v>
      </c>
      <c r="B22" s="29" t="n"/>
      <c r="C22" s="29" t="n"/>
      <c r="D22" s="29" t="n"/>
      <c r="F22" s="29" t="n"/>
      <c r="G22" s="29">
        <f>IF(F22=$B22,4,0) + IF(OR(F22=$B23,F22=$B21),2,0) + IF(OR(F22=$B24,F22=$B25),1,0)</f>
        <v/>
      </c>
      <c r="H22" s="28" t="n"/>
      <c r="I22" s="29">
        <f>IF(H22=$B22,4,0) + IF(OR(H22=$B23,H22=$B21),2,0) + IF(OR(H22=$B24,H22=$B25),1,0)</f>
        <v/>
      </c>
      <c r="J22" s="28" t="n"/>
      <c r="K22" s="29">
        <f>IF(J22=$B22,4,0) + IF(OR(J22=$B23,J22=$B21),2,0) + IF(OR(J22=$B24,J22=$B25),1,0)</f>
        <v/>
      </c>
      <c r="L22" s="28" t="n"/>
      <c r="M22" s="29">
        <f>IF(L22=$B22,4,0) + IF(OR(L22=$B23,L22=$B21),2,0) + IF(OR(L22=$B24,L22=$B25),1,0)</f>
        <v/>
      </c>
      <c r="N22" s="28" t="n"/>
      <c r="O22" s="29">
        <f>IF(N22=$B22,4,0) + IF(OR(N22=$B23,N22=$B21),2,0) + IF(OR(N22=$B24,N22=$B25),1,0)</f>
        <v/>
      </c>
      <c r="P22" s="28" t="n"/>
      <c r="Q22" s="29">
        <f>IF(P22=$B22,4,0) + IF(OR(P22=$B23,P22=$B21),2,0) + IF(OR(P22=$B24,P22=$B25),1,0)</f>
        <v/>
      </c>
      <c r="R22" s="28" t="n"/>
      <c r="S22" s="29">
        <f>IF(R22=$B22,4,0) + IF(OR(R22=$B23,R22=$B21),2,0) + IF(OR(R22=$B24,R22=$B25),1,0)</f>
        <v/>
      </c>
      <c r="T22" s="28" t="n"/>
      <c r="U22" s="29">
        <f>IF(T22=$B22,4,0) + IF(OR(T22=$B23,T22=$B21),2,0) + IF(OR(T22=$B24,T22=$B25),1,0)</f>
        <v/>
      </c>
      <c r="V22" s="28" t="n"/>
      <c r="W22" s="29">
        <f>IF(V22=$B22,4,0) + IF(OR(V22=$B23,V22=$B21),2,0) + IF(OR(V22=$B24,V22=$B25),1,0)</f>
        <v/>
      </c>
    </row>
    <row r="23">
      <c r="A23" s="29" t="n">
        <v>3</v>
      </c>
      <c r="B23" s="29" t="n"/>
      <c r="C23" s="29" t="n"/>
      <c r="D23" s="29" t="n"/>
      <c r="F23" s="29" t="n"/>
      <c r="G23" s="29">
        <f>IF(F23=$B23,4,0) + IF(OR(F23=$B24,F23=$B22),2,0) + IF(OR(F23=$B25,F23=$B21),1,0)</f>
        <v/>
      </c>
      <c r="H23" s="28" t="n"/>
      <c r="I23" s="29">
        <f>IF(H23=$B23,4,0) + IF(OR(H23=$B24,H23=$B22),2,0) + IF(OR(H23=$B25,H23=$B21),1,0)</f>
        <v/>
      </c>
      <c r="J23" s="28" t="n"/>
      <c r="K23" s="29">
        <f>IF(J23=$B23,4,0) + IF(OR(J23=$B24,J23=$B22),2,0) + IF(OR(J23=$B25,J23=$B21),1,0)</f>
        <v/>
      </c>
      <c r="L23" s="28" t="n"/>
      <c r="M23" s="29">
        <f>IF(L23=$B23,4,0) + IF(OR(L23=$B24,L23=$B22),2,0) + IF(OR(L23=$B25,L23=$B21),1,0)</f>
        <v/>
      </c>
      <c r="N23" s="28" t="n"/>
      <c r="O23" s="29">
        <f>IF(N23=$B23,4,0) + IF(OR(N23=$B24,N23=$B22),2,0) + IF(OR(N23=$B25,N23=$B21),1,0)</f>
        <v/>
      </c>
      <c r="P23" s="28" t="n"/>
      <c r="Q23" s="29">
        <f>IF(P23=$B23,4,0) + IF(OR(P23=$B24,P23=$B22),2,0) + IF(OR(P23=$B25,P23=$B21),1,0)</f>
        <v/>
      </c>
      <c r="R23" s="28" t="n"/>
      <c r="S23" s="29">
        <f>IF(R23=$B23,4,0) + IF(OR(R23=$B24,R23=$B22),2,0) + IF(OR(R23=$B25,R23=$B21),1,0)</f>
        <v/>
      </c>
      <c r="T23" s="28" t="n"/>
      <c r="U23" s="29">
        <f>IF(T23=$B23,4,0) + IF(OR(T23=$B24,T23=$B22),2,0) + IF(OR(T23=$B25,T23=$B21),1,0)</f>
        <v/>
      </c>
      <c r="V23" s="28" t="n"/>
      <c r="W23" s="29">
        <f>IF(V23=$B23,4,0) + IF(OR(V23=$B24,V23=$B22),2,0) + IF(OR(V23=$B25,V23=$B21),1,0)</f>
        <v/>
      </c>
    </row>
    <row r="24">
      <c r="A24" s="29" t="n">
        <v>4</v>
      </c>
      <c r="B24" s="29" t="n"/>
      <c r="C24" s="29" t="n"/>
      <c r="D24" s="29" t="n"/>
      <c r="F24" s="29" t="n"/>
      <c r="G24" s="29">
        <f>IF(F24=$B24,4,0) + IF(OR(F24=$B25,F24=$B23),2,0) + IF(OR(F24=$B21,F24=$B22,F24=$C25),1,0)</f>
        <v/>
      </c>
      <c r="H24" s="28" t="n"/>
      <c r="I24" s="29">
        <f>IF(H24=$B24,4,0) + IF(OR(H24=$B25,H24=$B23),2,0) + IF(OR(H24=$B21,H24=$B22,H24=$C25),1,0)</f>
        <v/>
      </c>
      <c r="J24" s="28" t="n"/>
      <c r="K24" s="29">
        <f>IF(J24=$B24,4,0) + IF(OR(J24=$B25,J24=$B23),2,0) + IF(OR(J24=$B21,J24=$B22,J24=$C25),1,0)</f>
        <v/>
      </c>
      <c r="L24" s="28" t="n"/>
      <c r="M24" s="29">
        <f>IF(L24=$B24,4,0) + IF(OR(L24=$B25,L24=$B23),2,0) + IF(OR(L24=$B21,L24=$B22,L24=$C25),1,0)</f>
        <v/>
      </c>
      <c r="N24" s="28" t="n"/>
      <c r="O24" s="29">
        <f>IF(N24=$B24,4,0) + IF(OR(N24=$B25,N24=$B23),2,0) + IF(OR(N24=$B21,N24=$B22,N24=$C25),1,0)</f>
        <v/>
      </c>
      <c r="P24" s="28" t="n"/>
      <c r="Q24" s="29">
        <f>IF(P24=$B24,4,0) + IF(OR(P24=$B25,P24=$B23),2,0) + IF(OR(P24=$B21,P24=$B22,P24=$C25),1,0)</f>
        <v/>
      </c>
      <c r="R24" s="28" t="n"/>
      <c r="S24" s="29">
        <f>IF(R24=$B24,4,0) + IF(OR(R24=$B25,R24=$B23),2,0) + IF(OR(R24=$B21,R24=$B22,R24=$C25),1,0)</f>
        <v/>
      </c>
      <c r="T24" s="28" t="n"/>
      <c r="U24" s="29">
        <f>IF(T24=$B24,4,0) + IF(OR(T24=$B25,T24=$B23),2,0) + IF(OR(T24=$B21,T24=$B22,T24=$C25),1,0)</f>
        <v/>
      </c>
      <c r="V24" s="28" t="n"/>
      <c r="W24" s="29">
        <f>IF(V24=$B24,4,0) + IF(OR(V24=$B25,V24=$B23),2,0) + IF(OR(V24=$B21,V24=$B22,V24=$C25),1,0)</f>
        <v/>
      </c>
    </row>
    <row r="25">
      <c r="A25" s="29" t="n">
        <v>5</v>
      </c>
      <c r="B25" s="29" t="n"/>
      <c r="C25" s="29" t="n"/>
      <c r="D25" s="29" t="n"/>
      <c r="F25" s="29" t="n"/>
      <c r="G25" s="29">
        <f>IF(F25=$B25,4,0) + IF(OR(F25=$C25,F25=$B24),2,0) + IF(OR(F25=$B22,F25=$B23,F25=$D25,F25=$B21),1,0)</f>
        <v/>
      </c>
      <c r="H25" s="28" t="n"/>
      <c r="I25" s="29">
        <f>IF(H25=$B25,4,0) + IF(OR(H25=$C25,H25=$B24),2,0) + IF(OR(H25=$B22,H25=$B23,H25=$D25,H25=$B21),1,0)</f>
        <v/>
      </c>
      <c r="J25" s="28" t="n"/>
      <c r="K25" s="29">
        <f>IF(J25=$B25,4,0) + IF(OR(J25=$C25,J25=$B24),2,0) + IF(OR(J25=$B22,J25=$B23,J25=$D25,J25=$B21),1,0)</f>
        <v/>
      </c>
      <c r="L25" s="28" t="n"/>
      <c r="M25" s="29">
        <f>IF(L25=$B25,4,0) + IF(OR(L25=$C25,L25=$B24),2,0) + IF(OR(L25=$B22,L25=$B23,L25=$D25,L25=$B21),1,0)</f>
        <v/>
      </c>
      <c r="N25" s="28" t="n"/>
      <c r="O25" s="29">
        <f>IF(N25=$B25,4,0) + IF(OR(N25=$C25,N25=$B24),2,0) + IF(OR(N25=$B22,N25=$B23,N25=$D25,N25=$B21),1,0)</f>
        <v/>
      </c>
      <c r="P25" s="28" t="n"/>
      <c r="Q25" s="29">
        <f>IF(P25=$B25,4,0) + IF(OR(P25=$C25,P25=$B24),2,0) + IF(OR(P25=$B22,P25=$B23,P25=$D25,P25=$B21),1,0)</f>
        <v/>
      </c>
      <c r="R25" s="28" t="n"/>
      <c r="S25" s="29">
        <f>IF(R25=$B25,4,0) + IF(OR(R25=$C25,R25=$B24),2,0) + IF(OR(R25=$B22,R25=$B23,R25=$D25,R25=$B21),1,0)</f>
        <v/>
      </c>
      <c r="T25" s="28" t="n"/>
      <c r="U25" s="29">
        <f>IF(T25=$B25,4,0) + IF(OR(T25=$C25,T25=$B24),2,0) + IF(OR(T25=$B22,T25=$B23,T25=$D25,T25=$B21),1,0)</f>
        <v/>
      </c>
      <c r="V25" s="28" t="n"/>
      <c r="W25" s="29">
        <f>IF(V25=$B25,4,0) + IF(OR(V25=$C25,V25=$B24),2,0) + IF(OR(V25=$B22,V25=$B23,V25=$D25,V25=$B21),1,0)</f>
        <v/>
      </c>
    </row>
    <row r="26">
      <c r="A26" s="29" t="inlineStr">
        <is>
          <t>Last</t>
        </is>
      </c>
      <c r="B26" s="29" t="n"/>
      <c r="C26" s="29" t="n"/>
      <c r="D26" s="29" t="n"/>
      <c r="F26" s="29" t="n"/>
      <c r="G26" s="29">
        <f>IF(F26=$B26,4,0) + IF(OR(F26=$C26),2,0) + IF(F26=$D26,1,0)</f>
        <v/>
      </c>
      <c r="H26" s="28" t="n"/>
      <c r="I26" s="29">
        <f>IF(H26=$B26,4,0) + IF(OR(H26=$C26),2,0) + IF(H26=$D26,1,0)</f>
        <v/>
      </c>
      <c r="J26" s="28" t="n"/>
      <c r="K26" s="29">
        <f>IF(J26=$B26,4,0) + IF(OR(J26=$C26),2,0) + IF(J26=$D26,1,0)</f>
        <v/>
      </c>
      <c r="L26" s="28" t="n"/>
      <c r="M26" s="29">
        <f>IF(L26=$B26,4,0) + IF(OR(L26=$C26),2,0) + IF(L26=$D26,1,0)</f>
        <v/>
      </c>
      <c r="N26" s="28" t="n"/>
      <c r="O26" s="29">
        <f>IF(N26=$B26,4,0) + IF(OR(N26=$C26),2,0) + IF(N26=$D26,1,0)</f>
        <v/>
      </c>
      <c r="P26" s="28" t="n"/>
      <c r="Q26" s="29">
        <f>IF(P26=$B26,4,0) + IF(OR(P26=$C26),2,0) + IF(P26=$D26,1,0)</f>
        <v/>
      </c>
      <c r="R26" s="28" t="n"/>
      <c r="S26" s="29">
        <f>IF(R26=$B26,4,0) + IF(OR(R26=$C26),2,0) + IF(R26=$D26,1,0)</f>
        <v/>
      </c>
      <c r="T26" s="28" t="n"/>
      <c r="U26" s="29">
        <f>IF(T26=$B26,4,0) + IF(OR(T26=$C26),2,0) + IF(T26=$D26,1,0)</f>
        <v/>
      </c>
      <c r="V26" s="28" t="n"/>
      <c r="W26" s="29">
        <f>IF(V26=$B26,4,0) + IF(OR(V26=$C26),2,0) + IF(V26=$D26,1,0)</f>
        <v/>
      </c>
    </row>
    <row r="27">
      <c r="A27" s="29" t="inlineStr">
        <is>
          <t>Jury</t>
        </is>
      </c>
      <c r="B27" s="29" t="n"/>
      <c r="C27" s="29" t="n"/>
      <c r="D27" s="29" t="n"/>
      <c r="F27" s="29" t="n"/>
      <c r="G27" s="29">
        <f>IF(F27=$B27,4,0) + IF(OR(F27=$C27),2,0) + IF(F27=$D27,1,0)</f>
        <v/>
      </c>
      <c r="H27" s="28" t="n"/>
      <c r="I27" s="29">
        <f>IF(H27=$B27,4,0) + IF(OR(H27=$C27),2,0) + IF(H27=$D27,1,0)</f>
        <v/>
      </c>
      <c r="J27" s="28" t="n"/>
      <c r="K27" s="29">
        <f>IF(J27=$B27,4,0) + IF(OR(J27=$C27),2,0) + IF(J27=$D27,1,0)</f>
        <v/>
      </c>
      <c r="L27" s="28" t="n"/>
      <c r="M27" s="29">
        <f>IF(L27=$B27,4,0) + IF(OR(L27=$C27),2,0) + IF(L27=$D27,1,0)</f>
        <v/>
      </c>
      <c r="N27" s="28" t="n"/>
      <c r="O27" s="29">
        <f>IF(N27=$B27,4,0) + IF(OR(N27=$C27),2,0) + IF(N27=$D27,1,0)</f>
        <v/>
      </c>
      <c r="P27" s="28" t="n"/>
      <c r="Q27" s="29">
        <f>IF(P27=$B27,4,0) + IF(OR(P27=$C27),2,0) + IF(P27=$D27,1,0)</f>
        <v/>
      </c>
      <c r="R27" s="28" t="n"/>
      <c r="S27" s="29">
        <f>IF(R27=$B27,4,0) + IF(OR(R27=$C27),2,0) + IF(R27=$D27,1,0)</f>
        <v/>
      </c>
      <c r="T27" s="28" t="n"/>
      <c r="U27" s="29">
        <f>IF(T27=$B27,4,0) + IF(OR(T27=$C27),2,0) + IF(T27=$D27,1,0)</f>
        <v/>
      </c>
      <c r="V27" s="28" t="n"/>
      <c r="W27" s="29">
        <f>IF(V27=$B27,4,0) + IF(OR(V27=$C27),2,0) + IF(V27=$D27,1,0)</f>
        <v/>
      </c>
    </row>
    <row r="28">
      <c r="A28" s="29" t="inlineStr">
        <is>
          <t>Tele</t>
        </is>
      </c>
      <c r="B28" s="29" t="n"/>
      <c r="C28" s="29" t="n"/>
      <c r="D28" s="29" t="n"/>
      <c r="F28" s="29" t="n"/>
      <c r="G28" s="29">
        <f>IF(F28=$B28,4,0) + IF(OR(F28=$C28),2,0) + IF(F28=$D28,1,0)</f>
        <v/>
      </c>
      <c r="H28" s="28" t="n"/>
      <c r="I28" s="29">
        <f>IF(H28=$B28,4,0) + IF(OR(H28=$C28),2,0) + IF(H28=$D28,1,0)</f>
        <v/>
      </c>
      <c r="J28" s="28" t="n"/>
      <c r="K28" s="29">
        <f>IF(J28=$B28,4,0) + IF(OR(J28=$C28),2,0) + IF(J28=$D28,1,0)</f>
        <v/>
      </c>
      <c r="L28" s="28" t="n"/>
      <c r="M28" s="29">
        <f>IF(L28=$B28,4,0) + IF(OR(L28=$C28),2,0) + IF(L28=$D28,1,0)</f>
        <v/>
      </c>
      <c r="N28" s="28" t="n"/>
      <c r="O28" s="29">
        <f>IF(N28=$B28,4,0) + IF(OR(N28=$C28),2,0) + IF(N28=$D28,1,0)</f>
        <v/>
      </c>
      <c r="P28" s="28" t="n"/>
      <c r="Q28" s="29">
        <f>IF(P28=$B28,4,0) + IF(OR(P28=$C28),2,0) + IF(P28=$D28,1,0)</f>
        <v/>
      </c>
      <c r="R28" s="28" t="n"/>
      <c r="S28" s="29">
        <f>IF(R28=$B28,4,0) + IF(OR(R28=$C28),2,0) + IF(R28=$D28,1,0)</f>
        <v/>
      </c>
      <c r="T28" s="28" t="n"/>
      <c r="U28" s="29">
        <f>IF(T28=$B28,4,0) + IF(OR(T28=$C28),2,0) + IF(T28=$D28,1,0)</f>
        <v/>
      </c>
      <c r="V28" s="28" t="n"/>
      <c r="W28" s="29">
        <f>IF(V28=$B28,4,0) + IF(OR(V28=$C28),2,0) + IF(V28=$D28,1,0)</f>
        <v/>
      </c>
    </row>
    <row r="29">
      <c r="A29" s="29" t="inlineStr">
        <is>
          <t>Germany</t>
        </is>
      </c>
      <c r="B29" s="29" t="n"/>
      <c r="C29" s="29" t="n"/>
      <c r="D29" s="29" t="n"/>
      <c r="F29" s="29" t="n"/>
      <c r="G29" s="29">
        <f>IF(F29=$B29,4,0) + IF(OR(F29=$B29+1, F29=$B29-1),2,0) + IF(OR(F29=$B29+2, F29=$B29-2),1,0)</f>
        <v/>
      </c>
      <c r="H29" s="28" t="n"/>
      <c r="I29" s="29">
        <f>IF(H29=$B29,4,0) + IF(OR(H29=$B29+1, H29=$B29-1),2,0) + IF(OR(H29=$B29+2, H29=$B29-2),1,0)</f>
        <v/>
      </c>
      <c r="J29" s="28" t="n"/>
      <c r="K29" s="29">
        <f>IF(J29=$B29,4,0) + IF(OR(J29=$B29+1, J29=$B29-1),2,0) + IF(OR(J29=$B29+2, J29=$B29-2),1,0)</f>
        <v/>
      </c>
      <c r="L29" s="28" t="n"/>
      <c r="M29" s="29">
        <f>IF(L29=$B29,4,0) + IF(OR(L29=$B29+1, L29=$B29-1),2,0) + IF(OR(L29=$B29+2, L29=$B29-2),1,0)</f>
        <v/>
      </c>
      <c r="N29" s="28" t="n"/>
      <c r="O29" s="29">
        <f>IF(N29=$B29,4,0) + IF(OR(N29=$B29+1, N29=$B29-1),2,0) + IF(OR(N29=$B29+2, N29=$B29-2),1,0)</f>
        <v/>
      </c>
      <c r="P29" s="28" t="n"/>
      <c r="Q29" s="29">
        <f>IF(P29=$B29,4,0) + IF(OR(P29=$B29+1, P29=$B29-1),2,0) + IF(OR(P29=$B29+2, P29=$B29-2),1,0)</f>
        <v/>
      </c>
      <c r="R29" s="28" t="n"/>
      <c r="S29" s="29">
        <f>IF(R29=$B29,4,0) + IF(OR(R29=$B29+1, R29=$B29-1),2,0) + IF(OR(R29=$B29+2, R29=$B29-2),1,0)</f>
        <v/>
      </c>
      <c r="T29" s="28" t="n"/>
      <c r="U29" s="29">
        <f>IF(T29=$B29,4,0) + IF(OR(T29=$B29+1, T29=$B29-1),2,0) + IF(OR(T29=$B29+2, T29=$B29-2),1,0)</f>
        <v/>
      </c>
      <c r="V29" s="28" t="n"/>
      <c r="W29" s="29">
        <f>IF(V29=$B29,4,0) + IF(OR(V29=$B29+1, V29=$B29-1),2,0) + IF(OR(V29=$B29+2, V29=$B29-2),1,0)</f>
        <v/>
      </c>
    </row>
    <row r="30">
      <c r="F30" s="29" t="n"/>
      <c r="G30" s="29" t="n"/>
      <c r="H30" s="28" t="n"/>
      <c r="I30" s="29" t="n"/>
      <c r="J30" s="28" t="n"/>
      <c r="K30" s="29" t="n"/>
      <c r="L30" s="28" t="n"/>
      <c r="M30" s="29" t="n"/>
      <c r="N30" s="28" t="n"/>
      <c r="O30" s="29" t="n"/>
      <c r="P30" s="28" t="n"/>
      <c r="Q30" s="29" t="n"/>
      <c r="R30" s="28" t="n"/>
      <c r="S30" s="29" t="n"/>
      <c r="T30" s="28" t="n"/>
      <c r="U30" s="29" t="n"/>
      <c r="V30" s="28" t="n"/>
      <c r="W30" s="29" t="n"/>
    </row>
    <row r="31">
      <c r="F31" s="29" t="inlineStr">
        <is>
          <t>Sum</t>
        </is>
      </c>
      <c r="G31" s="29">
        <f>SUM(G21:G29)</f>
        <v/>
      </c>
      <c r="H31" s="28" t="inlineStr">
        <is>
          <t>Sum</t>
        </is>
      </c>
      <c r="I31" s="29">
        <f>SUM(I21:I29)</f>
        <v/>
      </c>
      <c r="J31" s="28" t="inlineStr">
        <is>
          <t>Sum</t>
        </is>
      </c>
      <c r="K31" s="29">
        <f>SUM(K21:K29)</f>
        <v/>
      </c>
      <c r="L31" s="28" t="inlineStr">
        <is>
          <t>Sum</t>
        </is>
      </c>
      <c r="M31" s="29">
        <f>SUM(M21:M29)</f>
        <v/>
      </c>
      <c r="N31" s="28" t="inlineStr">
        <is>
          <t>Sum</t>
        </is>
      </c>
      <c r="O31" s="29">
        <f>SUM(O21:O29)</f>
        <v/>
      </c>
      <c r="P31" s="28" t="inlineStr">
        <is>
          <t>Sum</t>
        </is>
      </c>
      <c r="Q31" s="29">
        <f>SUM(Q21:Q29)</f>
        <v/>
      </c>
      <c r="R31" s="28" t="inlineStr">
        <is>
          <t>Sum</t>
        </is>
      </c>
      <c r="S31" s="29">
        <f>SUM(S21:S29)</f>
        <v/>
      </c>
      <c r="T31" s="28" t="inlineStr">
        <is>
          <t>Sum</t>
        </is>
      </c>
      <c r="U31" s="29">
        <f>SUM(U21:U29)</f>
        <v/>
      </c>
      <c r="V31" s="28" t="inlineStr">
        <is>
          <t>Sum</t>
        </is>
      </c>
      <c r="W31" s="29">
        <f>SUM(W21:W29)</f>
        <v/>
      </c>
    </row>
    <row r="32">
      <c r="F32" s="29" t="inlineStr">
        <is>
          <t>Bonus</t>
        </is>
      </c>
      <c r="G32" s="29">
        <f>IF(AND(G21=4,G26=4),2,0) + IF(AND(G21&gt;0,G26&gt;0),4,0) + IF(AND(G27=4,G28=4),2,0) + IF(AND(G29=4,OR(G21=4,G22=4,G23=4,G24=4,G25=4,G26=4,G27=4,G28=4)),6,0) + IF(AND(G27&gt;0,G28&gt;0),4,0)</f>
        <v/>
      </c>
      <c r="H32" s="28" t="inlineStr">
        <is>
          <t>Bonus</t>
        </is>
      </c>
      <c r="I32" s="29">
        <f>IF(AND(I21=4,I26=4),2,0) + IF(AND(I21&gt;0,I26&gt;0),4,0) + IF(AND(I27=4,I28=4),2,0) + IF(AND(I29=4,OR(I21=4,I22=4,I23=4,I24=4,I25=4,I26=4,I27=4,I28=4)),6,0) + IF(AND(I27&gt;0,I28&gt;0),4,0)</f>
        <v/>
      </c>
      <c r="J32" s="28" t="inlineStr">
        <is>
          <t>Bonus</t>
        </is>
      </c>
      <c r="K32" s="29">
        <f>IF(AND(K21=4,K26=4),2,0) + IF(AND(K21&gt;0,K26&gt;0),4,0) + IF(AND(K27=4,K28=4),2,0) + IF(AND(K29=4,OR(K21=4,K22=4,K23=4,K24=4,K25=4,K26=4,K27=4,K28=4)),6,0) + IF(AND(K27&gt;0,K28&gt;0),4,0)</f>
        <v/>
      </c>
      <c r="L32" s="28" t="inlineStr">
        <is>
          <t>Bonus</t>
        </is>
      </c>
      <c r="M32" s="29">
        <f>IF(AND(M21=4,M26=4),2,0) + IF(AND(M21&gt;0,M26&gt;0),4,0) + IF(AND(M27=4,M28=4),2,0) + IF(AND(M29=4,OR(M21=4,M22=4,M23=4,M24=4,M25=4,M26=4,M27=4,M28=4)),6,0) + IF(AND(M27&gt;0,M28&gt;0),4,0)</f>
        <v/>
      </c>
      <c r="N32" s="28" t="inlineStr">
        <is>
          <t>Bonus</t>
        </is>
      </c>
      <c r="O32" s="29">
        <f>IF(AND(O21=4,O26=4),2,0) + IF(AND(O21&gt;0,O26&gt;0),4,0) + IF(AND(O27=4,O28=4),2,0) + IF(AND(O29=4,OR(O21=4,O22=4,O23=4,O24=4,O25=4,O26=4,O27=4,O28=4)),6,0) + IF(AND(O27&gt;0,O28&gt;0),4,0)</f>
        <v/>
      </c>
      <c r="P32" s="28" t="inlineStr">
        <is>
          <t>Bonus</t>
        </is>
      </c>
      <c r="Q32" s="29">
        <f>IF(AND(Q21=4,Q26=4),2,0) + IF(AND(Q21&gt;0,Q26&gt;0),4,0) + IF(AND(Q27=4,Q28=4),2,0) + IF(AND(Q29=4,OR(Q21=4,Q22=4,Q23=4,Q24=4,Q25=4,Q26=4,Q27=4,Q28=4)),6,0) + IF(AND(Q27&gt;0,Q28&gt;0),4,0)</f>
        <v/>
      </c>
      <c r="R32" s="28" t="inlineStr">
        <is>
          <t>Bonus</t>
        </is>
      </c>
      <c r="S32" s="29">
        <f>IF(AND(S21=4,S26=4),2,0) + IF(AND(S21&gt;0,S26&gt;0),4,0) + IF(AND(S27=4,S28=4),2,0) + IF(AND(S29=4,OR(S21=4,S22=4,S23=4,S24=4,S25=4,S26=4,S27=4,S28=4)),6,0) + IF(AND(S27&gt;0,S28&gt;0),4,0)</f>
        <v/>
      </c>
      <c r="T32" s="28" t="inlineStr">
        <is>
          <t>Bonus</t>
        </is>
      </c>
      <c r="U32" s="29">
        <f>IF(AND(U21=4,U26=4),2,0) + IF(AND(U21&gt;0,U26&gt;0),4,0) + IF(AND(U27=4,U28=4),2,0) + IF(AND(U29=4,OR(U21=4,U22=4,U23=4,U24=4,U25=4,U26=4,U27=4,U28=4)),6,0) + IF(AND(U27&gt;0,U28&gt;0),4,0)</f>
        <v/>
      </c>
      <c r="V32" s="28" t="inlineStr">
        <is>
          <t>Bonus</t>
        </is>
      </c>
      <c r="W32" s="29">
        <f>IF(AND(W21=4,W26=4),2,0) + IF(AND(W21&gt;0,W26&gt;0),4,0) + IF(AND(W27=4,W28=4),2,0) + IF(AND(W29=4,OR(W21=4,W22=4,W23=4,W24=4,W25=4,W26=4,W27=4,W28=4)),6,0) + IF(AND(W27&gt;0,W28&gt;0),4,0)</f>
        <v/>
      </c>
    </row>
    <row r="33">
      <c r="F33" s="26" t="inlineStr">
        <is>
          <t>Total</t>
        </is>
      </c>
      <c r="G33" s="26">
        <f>G31+G32</f>
        <v/>
      </c>
      <c r="H33" s="27" t="inlineStr">
        <is>
          <t>Total</t>
        </is>
      </c>
      <c r="I33" s="26">
        <f>I31+I32</f>
        <v/>
      </c>
      <c r="J33" s="27" t="inlineStr">
        <is>
          <t>Total</t>
        </is>
      </c>
      <c r="K33" s="26">
        <f>K31+K32</f>
        <v/>
      </c>
      <c r="L33" s="27" t="inlineStr">
        <is>
          <t>Total</t>
        </is>
      </c>
      <c r="M33" s="26">
        <f>M31+M32</f>
        <v/>
      </c>
      <c r="N33" s="27" t="inlineStr">
        <is>
          <t>Total</t>
        </is>
      </c>
      <c r="O33" s="26">
        <f>O31+O32</f>
        <v/>
      </c>
      <c r="P33" s="27" t="inlineStr">
        <is>
          <t>Total</t>
        </is>
      </c>
      <c r="Q33" s="26">
        <f>Q31+Q32</f>
        <v/>
      </c>
      <c r="R33" s="27" t="inlineStr">
        <is>
          <t>Total</t>
        </is>
      </c>
      <c r="S33" s="26">
        <f>S31+S32</f>
        <v/>
      </c>
      <c r="T33" s="27" t="inlineStr">
        <is>
          <t>Total</t>
        </is>
      </c>
      <c r="U33" s="26">
        <f>U31+U32</f>
        <v/>
      </c>
      <c r="V33" s="27" t="inlineStr">
        <is>
          <t>Total</t>
        </is>
      </c>
      <c r="W33" s="26">
        <f>W31+W32</f>
        <v/>
      </c>
    </row>
  </sheetData>
  <mergeCells count="4">
    <mergeCell ref="B20:D20"/>
    <mergeCell ref="A1:D1"/>
    <mergeCell ref="B2:D2"/>
    <mergeCell ref="A19:D19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2">
    <outlinePr summaryBelow="1" summaryRight="1"/>
    <pageSetUpPr/>
  </sheetPr>
  <dimension ref="A1:W104"/>
  <sheetViews>
    <sheetView zoomScale="120" zoomScaleNormal="120" workbookViewId="0">
      <selection activeCell="G39" sqref="G39"/>
    </sheetView>
  </sheetViews>
  <sheetFormatPr baseColWidth="10" defaultRowHeight="16"/>
  <cols>
    <col width="6.33203125" customWidth="1" min="2" max="2"/>
    <col width="6.83203125" customWidth="1" style="8" min="3" max="3"/>
    <col width="89.83203125" bestFit="1" customWidth="1" min="4" max="4"/>
    <col width="5.83203125" customWidth="1" style="8" min="5" max="5"/>
    <col width="11" customWidth="1" min="7" max="7"/>
    <col width="6.83203125" customWidth="1" style="8" min="8" max="8"/>
    <col width="89.83203125" bestFit="1" customWidth="1" min="9" max="9"/>
    <col width="5.83203125" customWidth="1" style="8" min="10" max="10"/>
    <col width="11" customWidth="1" min="12" max="12"/>
    <col width="6.5" customWidth="1" style="29" min="13" max="13"/>
    <col width="89.83203125" bestFit="1" customWidth="1" min="14" max="14"/>
    <col width="6.1640625" customWidth="1" style="8" min="15" max="15"/>
    <col width="7.1640625" customWidth="1" style="29" min="18" max="18"/>
    <col width="75.33203125" customWidth="1" min="19" max="19"/>
    <col width="5.83203125" customWidth="1" style="8" min="20" max="20"/>
    <col width="58" bestFit="1" customWidth="1" min="23" max="23"/>
  </cols>
  <sheetData>
    <row r="1">
      <c r="D1" s="29" t="n">
        <v>2026</v>
      </c>
      <c r="I1" s="29" t="n">
        <v>2025</v>
      </c>
      <c r="N1" s="29" t="n">
        <v>2024</v>
      </c>
      <c r="S1" s="29" t="n">
        <v>2023</v>
      </c>
      <c r="W1" s="29" t="n">
        <v>2022</v>
      </c>
    </row>
    <row r="2">
      <c r="C2" s="14" t="n">
        <v>1</v>
      </c>
      <c r="D2" s="6" t="inlineStr">
        <is>
          <t>A Big 5 country ends up in last place</t>
        </is>
      </c>
      <c r="E2" s="25" t="n">
        <v>6</v>
      </c>
      <c r="F2" t="n">
        <v>1</v>
      </c>
      <c r="H2" s="14" t="n">
        <v>1</v>
      </c>
      <c r="I2" s="5" t="inlineStr">
        <is>
          <t>A Big 5 country ends up in last place</t>
        </is>
      </c>
      <c r="J2" s="9" t="n">
        <v>7</v>
      </c>
      <c r="M2" s="18" t="n">
        <v>1</v>
      </c>
      <c r="N2" s="5" t="inlineStr">
        <is>
          <t>A Big 5 country ends up in last place</t>
        </is>
      </c>
      <c r="O2" s="9" t="n">
        <v>5</v>
      </c>
      <c r="R2" s="29" t="n">
        <v>1</v>
      </c>
      <c r="S2" s="6" t="inlineStr">
        <is>
          <t>A Big 5 country ends up in last place</t>
        </is>
      </c>
      <c r="T2" s="9" t="n">
        <v>3</v>
      </c>
      <c r="W2" s="4" t="inlineStr">
        <is>
          <t>A Big 5 country ends up in last place</t>
        </is>
      </c>
    </row>
    <row r="3">
      <c r="C3" s="14" t="n">
        <v>2</v>
      </c>
      <c r="D3" s="6" t="inlineStr">
        <is>
          <t>Cameraman visible on stage</t>
        </is>
      </c>
      <c r="E3" s="25" t="n">
        <v>5</v>
      </c>
      <c r="F3" t="n">
        <v>1</v>
      </c>
      <c r="H3" s="14" t="n">
        <v>2</v>
      </c>
      <c r="I3" s="6" t="inlineStr">
        <is>
          <t>Cameraman visible on stage</t>
        </is>
      </c>
      <c r="J3" s="9" t="n">
        <v>9</v>
      </c>
      <c r="K3" t="n">
        <v>1</v>
      </c>
      <c r="M3" s="18" t="n">
        <v>2</v>
      </c>
      <c r="N3" s="6" t="inlineStr">
        <is>
          <t>Cameraman visible on stage</t>
        </is>
      </c>
      <c r="O3" s="9" t="n">
        <v>6</v>
      </c>
      <c r="R3" s="29" t="n">
        <v>2</v>
      </c>
      <c r="S3" s="5" t="inlineStr">
        <is>
          <t>Cameraman visible on stage</t>
        </is>
      </c>
      <c r="T3" s="9" t="n">
        <v>7</v>
      </c>
      <c r="W3" s="4" t="inlineStr">
        <is>
          <t>Cameraman visible on stage</t>
        </is>
      </c>
    </row>
    <row r="4">
      <c r="C4" s="14" t="n">
        <v>3</v>
      </c>
      <c r="D4" s="5" t="inlineStr">
        <is>
          <t>Winning country breaks the record for most points (758)</t>
        </is>
      </c>
      <c r="E4" s="25" t="n">
        <v>0</v>
      </c>
      <c r="H4" s="14" t="n">
        <v>3</v>
      </c>
      <c r="I4" s="5" t="inlineStr">
        <is>
          <t>Winning country breaks the record for most points (758)</t>
        </is>
      </c>
      <c r="J4" s="9" t="n">
        <v>2</v>
      </c>
      <c r="M4" s="18" t="n">
        <v>3</v>
      </c>
      <c r="N4" s="5" t="inlineStr">
        <is>
          <t>Winning country breaks the record for most points (758)</t>
        </is>
      </c>
      <c r="O4" s="9" t="n">
        <v>0</v>
      </c>
      <c r="R4" s="29" t="n">
        <v>3</v>
      </c>
      <c r="S4" s="5" t="inlineStr">
        <is>
          <t>Winning country breaks the record for most points (758)</t>
        </is>
      </c>
      <c r="T4" s="9" t="n">
        <v>0</v>
      </c>
      <c r="W4" s="4" t="inlineStr">
        <is>
          <t>"Thank you for a fantastic show"</t>
        </is>
      </c>
    </row>
    <row r="5">
      <c r="C5" s="14" t="n">
        <v>4</v>
      </c>
      <c r="D5" s="6" t="inlineStr">
        <is>
          <t xml:space="preserve">UK flops again and lands in the bottom </t>
        </is>
      </c>
      <c r="E5" s="25" t="n">
        <v>9</v>
      </c>
      <c r="F5" t="n">
        <v>1</v>
      </c>
      <c r="H5" s="14" t="n">
        <v>4</v>
      </c>
      <c r="I5" s="5" t="inlineStr">
        <is>
          <t xml:space="preserve">UK flops again and lands in the bottom </t>
        </is>
      </c>
      <c r="J5" s="9" t="n">
        <v>3</v>
      </c>
      <c r="M5" s="18" t="n">
        <v>4</v>
      </c>
      <c r="N5" s="5" t="inlineStr">
        <is>
          <t xml:space="preserve">UK flops again and lands in the bottom </t>
        </is>
      </c>
      <c r="O5" s="9" t="n">
        <v>2</v>
      </c>
      <c r="R5" s="29" t="n">
        <v>4</v>
      </c>
      <c r="S5" s="6" t="inlineStr">
        <is>
          <t xml:space="preserve">UK flops again and lands in the bottom </t>
        </is>
      </c>
      <c r="T5" s="9" t="n">
        <v>1</v>
      </c>
      <c r="W5" s="4" t="inlineStr">
        <is>
          <t xml:space="preserve">UK flops again and lands in the bottom </t>
        </is>
      </c>
    </row>
    <row r="6">
      <c r="C6" s="14" t="n">
        <v>5</v>
      </c>
      <c r="D6" s="6" t="inlineStr">
        <is>
          <t>Somebody starts crying</t>
        </is>
      </c>
      <c r="E6" s="25" t="n">
        <v>8</v>
      </c>
      <c r="F6" t="n">
        <v>1</v>
      </c>
      <c r="H6" s="14" t="n">
        <v>5</v>
      </c>
      <c r="I6" s="6" t="inlineStr">
        <is>
          <t>Somebody starts crying</t>
        </is>
      </c>
      <c r="J6" s="9" t="n">
        <v>13</v>
      </c>
      <c r="K6" t="n">
        <v>1</v>
      </c>
      <c r="M6" s="18" t="n">
        <v>5</v>
      </c>
      <c r="N6" s="6" t="inlineStr">
        <is>
          <t>Somebody starts crying</t>
        </is>
      </c>
      <c r="O6" s="9" t="n">
        <v>10</v>
      </c>
      <c r="R6" s="29" t="n">
        <v>5</v>
      </c>
      <c r="S6" s="6" t="inlineStr">
        <is>
          <t>Somebody starts crying</t>
        </is>
      </c>
      <c r="T6" s="9" t="n">
        <v>9</v>
      </c>
      <c r="W6" s="4" t="inlineStr">
        <is>
          <t>Crying</t>
        </is>
      </c>
    </row>
    <row r="7">
      <c r="C7" s="13" t="n">
        <v>6</v>
      </c>
      <c r="D7" s="5" t="inlineStr">
        <is>
          <t>Winning country has the lowest points of a winning country (436)</t>
        </is>
      </c>
      <c r="E7" s="25" t="n">
        <v>1</v>
      </c>
      <c r="H7" s="14" t="n">
        <v>6</v>
      </c>
      <c r="I7" s="6" t="inlineStr">
        <is>
          <t>Winning country has the lowest points of a winning country (498)</t>
        </is>
      </c>
      <c r="J7" s="9" t="n">
        <v>1</v>
      </c>
      <c r="K7" t="n">
        <v>1</v>
      </c>
      <c r="M7" s="18" t="n">
        <v>6</v>
      </c>
      <c r="N7" s="5" t="inlineStr">
        <is>
          <t>Winning country has the lowest points of a winning country (498)</t>
        </is>
      </c>
      <c r="O7" s="9" t="n">
        <v>1</v>
      </c>
      <c r="R7" s="29" t="n">
        <v>6</v>
      </c>
      <c r="S7" s="5" t="inlineStr">
        <is>
          <t>Winning country has the lowest points of a winning country (498)</t>
        </is>
      </c>
      <c r="T7" s="9" t="n">
        <v>0</v>
      </c>
      <c r="W7" s="4" t="inlineStr">
        <is>
          <t>Hosts being overly touchy</t>
        </is>
      </c>
    </row>
    <row r="8">
      <c r="C8" s="14" t="n">
        <v>7</v>
      </c>
      <c r="D8" s="6" t="inlineStr">
        <is>
          <t>*surprised pikachu face*</t>
        </is>
      </c>
      <c r="E8" s="25" t="n">
        <v>8</v>
      </c>
      <c r="F8" t="n">
        <v>1</v>
      </c>
      <c r="H8" s="14" t="n">
        <v>7</v>
      </c>
      <c r="I8" s="6" t="inlineStr">
        <is>
          <t>*surprised pikachu face*</t>
        </is>
      </c>
      <c r="J8" s="9" t="n">
        <v>11</v>
      </c>
      <c r="K8" t="n">
        <v>1</v>
      </c>
      <c r="M8" s="18" t="n">
        <v>7</v>
      </c>
      <c r="N8" s="6" t="inlineStr">
        <is>
          <t>*surprised pikachu face*</t>
        </is>
      </c>
      <c r="O8" s="9" t="n">
        <v>9</v>
      </c>
      <c r="R8" s="29" t="n">
        <v>7</v>
      </c>
      <c r="S8" s="6" t="inlineStr">
        <is>
          <t>*surprised pikachu face*</t>
        </is>
      </c>
      <c r="T8" s="9" t="n">
        <v>8</v>
      </c>
      <c r="W8" s="4" t="inlineStr">
        <is>
          <t>*surprised pikachu face*</t>
        </is>
      </c>
    </row>
    <row r="9">
      <c r="A9" s="17" t="inlineStr">
        <is>
          <t>STAY</t>
        </is>
      </c>
      <c r="B9" s="8" t="n"/>
      <c r="C9" s="14" t="n">
        <v>8</v>
      </c>
      <c r="D9" s="5" t="inlineStr">
        <is>
          <t>Microphone issues</t>
        </is>
      </c>
      <c r="E9" s="25" t="n">
        <v>3</v>
      </c>
      <c r="H9" s="14" t="n">
        <v>8</v>
      </c>
      <c r="I9" s="5" t="inlineStr">
        <is>
          <t>Microphone issues</t>
        </is>
      </c>
      <c r="J9" s="9" t="n">
        <v>7</v>
      </c>
      <c r="M9" s="18" t="n">
        <v>8</v>
      </c>
      <c r="N9" s="5" t="inlineStr">
        <is>
          <t>Microphone issues</t>
        </is>
      </c>
      <c r="O9" s="9" t="n">
        <v>3</v>
      </c>
      <c r="R9" s="29" t="n">
        <v>8</v>
      </c>
      <c r="S9" s="5" t="inlineStr">
        <is>
          <t>Microphone issues</t>
        </is>
      </c>
      <c r="T9" s="9" t="n">
        <v>6</v>
      </c>
      <c r="W9" s="4" t="inlineStr">
        <is>
          <t>Dropped microphone</t>
        </is>
      </c>
    </row>
    <row r="10">
      <c r="A10" s="15" t="inlineStr">
        <is>
          <t>NEW</t>
        </is>
      </c>
      <c r="B10" s="8" t="n"/>
      <c r="C10" s="14" t="n">
        <v>9</v>
      </c>
      <c r="D10" s="6" t="inlineStr">
        <is>
          <t>Host or presenter awkwardly sings a Eurovision song</t>
        </is>
      </c>
      <c r="E10" s="25" t="n">
        <v>7</v>
      </c>
      <c r="F10" t="n">
        <v>1</v>
      </c>
      <c r="H10" s="14" t="n">
        <v>9</v>
      </c>
      <c r="I10" s="6" t="inlineStr">
        <is>
          <t>Host or presenter awkwardly sings a Eurovision song</t>
        </is>
      </c>
      <c r="J10" s="9" t="n">
        <v>9</v>
      </c>
      <c r="K10" t="n">
        <v>1</v>
      </c>
      <c r="M10" s="18" t="n">
        <v>9</v>
      </c>
      <c r="N10" s="6" t="inlineStr">
        <is>
          <t>Host or presenter awkwardly sings a Eurovision song</t>
        </is>
      </c>
      <c r="O10" s="9" t="n">
        <v>10</v>
      </c>
      <c r="R10" s="29" t="n">
        <v>9</v>
      </c>
      <c r="S10" s="6" t="inlineStr">
        <is>
          <t>Host or presenter awkwardly sings a Eurovision song</t>
        </is>
      </c>
      <c r="T10" s="9" t="n">
        <v>8</v>
      </c>
      <c r="W10" s="4" t="inlineStr">
        <is>
          <t>Audience louder than artist</t>
        </is>
      </c>
    </row>
    <row r="11">
      <c r="A11" s="16" t="inlineStr">
        <is>
          <t>CHANGED</t>
        </is>
      </c>
      <c r="B11" s="8" t="n"/>
      <c r="C11" s="14" t="n">
        <v>10</v>
      </c>
      <c r="D11" s="5" t="inlineStr">
        <is>
          <t>Overall winner is neither first with the jury nor the televote</t>
        </is>
      </c>
      <c r="E11" s="25" t="n">
        <v>1</v>
      </c>
      <c r="H11" s="14" t="n">
        <v>10</v>
      </c>
      <c r="I11" s="5" t="inlineStr">
        <is>
          <t>Overall winner is neither first with the jury nor the televote</t>
        </is>
      </c>
      <c r="J11" s="9" t="n">
        <v>4</v>
      </c>
      <c r="M11" s="18" t="n">
        <v>10</v>
      </c>
      <c r="N11" s="5" t="inlineStr">
        <is>
          <t>Overall winner is neither first with the jury nor the televote</t>
        </is>
      </c>
      <c r="O11" s="9" t="n">
        <v>2</v>
      </c>
      <c r="R11" s="29" t="n">
        <v>10</v>
      </c>
      <c r="S11" s="5" t="inlineStr">
        <is>
          <t>Overall winner is neither first with the jury nor the televote</t>
        </is>
      </c>
      <c r="T11" s="9" t="n">
        <v>0</v>
      </c>
      <c r="W11" s="4" t="inlineStr">
        <is>
          <t>Presenter insults</t>
        </is>
      </c>
    </row>
    <row r="12">
      <c r="A12" s="22" t="inlineStr">
        <is>
          <t>RETURN</t>
        </is>
      </c>
      <c r="C12" s="14" t="n">
        <v>11</v>
      </c>
      <c r="D12" s="6" t="inlineStr">
        <is>
          <t>The winner is first with both the jury and the televote</t>
        </is>
      </c>
      <c r="E12" s="25" t="n">
        <v>4</v>
      </c>
      <c r="F12" t="n">
        <v>1</v>
      </c>
      <c r="H12" s="14" t="n">
        <v>11</v>
      </c>
      <c r="I12" s="5" t="inlineStr">
        <is>
          <t>The winner is first with both the jury and the televote</t>
        </is>
      </c>
      <c r="J12" s="9" t="n">
        <v>2</v>
      </c>
      <c r="M12" s="20" t="n">
        <v>11</v>
      </c>
      <c r="N12" s="5" t="inlineStr">
        <is>
          <t>The winner is first with both the jury and the televote</t>
        </is>
      </c>
      <c r="O12" s="9" t="n">
        <v>2</v>
      </c>
      <c r="R12" s="29" t="n">
        <v>11</v>
      </c>
      <c r="S12" s="5" t="inlineStr">
        <is>
          <t>Someone clearly looks into the wrong camera</t>
        </is>
      </c>
      <c r="T12" s="9" t="n">
        <v>6</v>
      </c>
      <c r="W12" s="4" t="inlineStr">
        <is>
          <t>Artist awkwardly talks into the mic after their performance</t>
        </is>
      </c>
    </row>
    <row r="13">
      <c r="C13" s="14" t="n">
        <v>12</v>
      </c>
      <c r="D13" s="6" t="inlineStr">
        <is>
          <t>Unnecessarily specific "Thank You" after a performance</t>
        </is>
      </c>
      <c r="E13" s="25" t="n">
        <v>9</v>
      </c>
      <c r="F13" t="n">
        <v>1</v>
      </c>
      <c r="H13" s="14" t="n">
        <v>12</v>
      </c>
      <c r="I13" s="6" t="inlineStr">
        <is>
          <t>Unnecessarily specific "Thank You" after a performance</t>
        </is>
      </c>
      <c r="J13" s="9" t="n">
        <v>5</v>
      </c>
      <c r="K13" t="n">
        <v>1</v>
      </c>
      <c r="M13" s="20" t="n">
        <v>12</v>
      </c>
      <c r="N13" s="6" t="inlineStr">
        <is>
          <t>Unnecessarily specific "Thank You" after a performance</t>
        </is>
      </c>
      <c r="O13" s="9" t="n">
        <v>6</v>
      </c>
      <c r="R13" s="29" t="n">
        <v>12</v>
      </c>
      <c r="S13" s="6" t="inlineStr">
        <is>
          <t>Someone makes an unplanned political statement</t>
        </is>
      </c>
      <c r="T13" s="9" t="n">
        <v>5</v>
      </c>
      <c r="W13" s="4" t="inlineStr">
        <is>
          <t>JA JA DING DONG</t>
        </is>
      </c>
    </row>
    <row r="14">
      <c r="C14" s="14" t="n">
        <v>13</v>
      </c>
      <c r="D14" s="6" t="inlineStr">
        <is>
          <t>Outfit or prop malfunction</t>
        </is>
      </c>
      <c r="E14" s="25" t="n">
        <v>2</v>
      </c>
      <c r="F14" t="n">
        <v>1</v>
      </c>
      <c r="H14" s="14" t="n">
        <v>13</v>
      </c>
      <c r="I14" s="6" t="inlineStr">
        <is>
          <t>Outfit or prop malfunction</t>
        </is>
      </c>
      <c r="J14" s="9" t="n">
        <v>6</v>
      </c>
      <c r="K14" t="n">
        <v>1</v>
      </c>
      <c r="M14" s="18" t="n">
        <v>13</v>
      </c>
      <c r="N14" s="5" t="inlineStr">
        <is>
          <t>Outfit or prop malfunction</t>
        </is>
      </c>
      <c r="O14" s="9" t="n">
        <v>5</v>
      </c>
      <c r="R14" s="29" t="n">
        <v>13</v>
      </c>
      <c r="S14" s="5" t="inlineStr">
        <is>
          <t>Outfit or prop malfunction</t>
        </is>
      </c>
      <c r="T14" s="9" t="n">
        <v>6</v>
      </c>
      <c r="W14" s="4" t="inlineStr">
        <is>
          <t>Outfit or prop malfunction</t>
        </is>
      </c>
    </row>
    <row r="15">
      <c r="C15" s="14" t="n">
        <v>14</v>
      </c>
      <c r="D15" s="5" t="inlineStr">
        <is>
          <t>Non-French-Speaking country announces their points in French</t>
        </is>
      </c>
      <c r="E15" s="25" t="n">
        <v>5</v>
      </c>
      <c r="H15" s="14" t="n">
        <v>14</v>
      </c>
      <c r="I15" s="6" t="inlineStr">
        <is>
          <t>Non-French-Speaking country announces their points in French</t>
        </is>
      </c>
      <c r="J15" s="9" t="n">
        <v>5</v>
      </c>
      <c r="K15" t="n">
        <v>1</v>
      </c>
      <c r="M15" s="20" t="n">
        <v>14</v>
      </c>
      <c r="N15" s="6" t="inlineStr">
        <is>
          <t>Non-French-Speaking country announces their points in French</t>
        </is>
      </c>
      <c r="O15" s="9" t="n">
        <v>4</v>
      </c>
      <c r="R15" s="29" t="n">
        <v>14</v>
      </c>
      <c r="S15" s="6" t="inlineStr">
        <is>
          <t>Specific mention of Russia</t>
        </is>
      </c>
      <c r="T15" s="9" t="n">
        <v>2</v>
      </c>
      <c r="W15" s="4" t="inlineStr">
        <is>
          <t>Russia</t>
        </is>
      </c>
    </row>
    <row r="16">
      <c r="C16" s="14" t="n">
        <v>15</v>
      </c>
      <c r="D16" s="6" t="inlineStr">
        <is>
          <t>Måns Zelmerlow gets any amount of screen time</t>
        </is>
      </c>
      <c r="E16" s="25" t="n">
        <v>2</v>
      </c>
      <c r="F16" t="n">
        <v>1</v>
      </c>
      <c r="H16" s="14" t="n">
        <v>15</v>
      </c>
      <c r="I16" s="5" t="inlineStr">
        <is>
          <t>Måns Zelmerlow gets any amount of screen time</t>
        </is>
      </c>
      <c r="J16" s="9" t="n">
        <v>6</v>
      </c>
      <c r="M16" s="18" t="n">
        <v>15</v>
      </c>
      <c r="N16" s="5" t="inlineStr">
        <is>
          <t>Måns Zelmerlow gets any amount of screen time</t>
        </is>
      </c>
      <c r="O16" s="9" t="n">
        <v>9</v>
      </c>
      <c r="R16" s="29" t="n">
        <v>15</v>
      </c>
      <c r="S16" s="5" t="inlineStr">
        <is>
          <t>Måns Zelmerlow gets any amount of screen time</t>
        </is>
      </c>
      <c r="T16" s="9" t="n">
        <v>7</v>
      </c>
      <c r="W16" s="4" t="inlineStr">
        <is>
          <t>Mans Zelmerlow</t>
        </is>
      </c>
    </row>
    <row r="17">
      <c r="C17" s="12" t="n">
        <v>16</v>
      </c>
      <c r="D17" s="6" t="inlineStr">
        <is>
          <t>"Good morning, Australia"</t>
        </is>
      </c>
      <c r="E17" s="25" t="n">
        <v>9</v>
      </c>
      <c r="F17" t="n">
        <v>1</v>
      </c>
      <c r="H17" s="12" t="n">
        <v>16</v>
      </c>
      <c r="I17" s="5" t="inlineStr">
        <is>
          <t>Celine Dion shows up</t>
        </is>
      </c>
      <c r="J17" s="9" t="n">
        <v>8</v>
      </c>
      <c r="M17" s="20" t="n">
        <v>16</v>
      </c>
      <c r="N17" s="6" t="inlineStr">
        <is>
          <t>The audience cheeres Petra Mede's name</t>
        </is>
      </c>
      <c r="O17" s="9" t="n">
        <v>5</v>
      </c>
      <c r="R17" s="29" t="n">
        <v>16</v>
      </c>
      <c r="S17" s="5" t="inlineStr">
        <is>
          <t>Host messes up their lines so bad, they comment on it</t>
        </is>
      </c>
      <c r="T17" s="9" t="n">
        <v>4</v>
      </c>
      <c r="W17" s="4" t="inlineStr">
        <is>
          <t>Host messes up their lines so bad, they comment on it</t>
        </is>
      </c>
    </row>
    <row r="18">
      <c r="C18" s="14" t="n">
        <v>17</v>
      </c>
      <c r="D18" s="5" t="inlineStr">
        <is>
          <t>Technical issues causing hosts to stall</t>
        </is>
      </c>
      <c r="E18" s="25" t="n">
        <v>3</v>
      </c>
      <c r="H18" s="14" t="n">
        <v>17</v>
      </c>
      <c r="I18" s="6" t="inlineStr">
        <is>
          <t>Technical issues causing hosts to stall</t>
        </is>
      </c>
      <c r="J18" s="9" t="n">
        <v>3</v>
      </c>
      <c r="K18" t="n">
        <v>1</v>
      </c>
      <c r="M18" s="18" t="n">
        <v>17</v>
      </c>
      <c r="N18" s="5" t="inlineStr">
        <is>
          <t>Technical issues causing hosts to stall</t>
        </is>
      </c>
      <c r="O18" s="9" t="n">
        <v>3</v>
      </c>
      <c r="R18" s="29" t="n">
        <v>17</v>
      </c>
      <c r="S18" s="5" t="inlineStr">
        <is>
          <t>Technical issues causing hosts to stall</t>
        </is>
      </c>
      <c r="T18" s="9" t="n">
        <v>3</v>
      </c>
      <c r="W18" s="4" t="inlineStr">
        <is>
          <t>Technical issues causing hosts to stall</t>
        </is>
      </c>
    </row>
    <row r="19">
      <c r="C19" s="14" t="n">
        <v>18</v>
      </c>
      <c r="D19" s="6" t="inlineStr">
        <is>
          <t>Fan recognizably dressed like a specific Eurovision artist</t>
        </is>
      </c>
      <c r="E19" s="25" t="n">
        <v>7</v>
      </c>
      <c r="F19" t="n">
        <v>1</v>
      </c>
      <c r="H19" s="14" t="n">
        <v>18</v>
      </c>
      <c r="I19" s="6" t="inlineStr">
        <is>
          <t>Fan recognizably dressed like a specific Eurovision artist</t>
        </is>
      </c>
      <c r="J19" s="9" t="n">
        <v>8</v>
      </c>
      <c r="K19" t="n">
        <v>1</v>
      </c>
      <c r="M19" s="18" t="n">
        <v>18</v>
      </c>
      <c r="N19" s="6" t="inlineStr">
        <is>
          <t>Fan recognizably dressed like a specific Eurovision artist</t>
        </is>
      </c>
      <c r="O19" s="9" t="n">
        <v>9</v>
      </c>
      <c r="R19" s="29" t="n">
        <v>18</v>
      </c>
      <c r="S19" s="6" t="inlineStr">
        <is>
          <t>Fan recognizably dressed like a specific Eurovision artist</t>
        </is>
      </c>
      <c r="T19" s="9" t="n">
        <v>5</v>
      </c>
      <c r="W19" s="4" t="inlineStr">
        <is>
          <t>Spilled drinks in the green room</t>
        </is>
      </c>
    </row>
    <row r="20">
      <c r="A20" s="24" t="inlineStr">
        <is>
          <t>+</t>
        </is>
      </c>
      <c r="C20" s="14" t="n">
        <v>19</v>
      </c>
      <c r="D20" s="5" t="inlineStr">
        <is>
          <t>Presenter loses connection</t>
        </is>
      </c>
      <c r="E20" s="25" t="n">
        <v>3</v>
      </c>
      <c r="H20" s="14" t="n">
        <v>19</v>
      </c>
      <c r="I20" s="5" t="inlineStr">
        <is>
          <t>Presenter loses connection</t>
        </is>
      </c>
      <c r="J20" s="9" t="n">
        <v>7</v>
      </c>
      <c r="M20" s="18" t="n">
        <v>19</v>
      </c>
      <c r="N20" s="6" t="inlineStr">
        <is>
          <t>Presenter loses connection</t>
        </is>
      </c>
      <c r="O20" s="9" t="n">
        <v>1</v>
      </c>
      <c r="R20" s="29" t="n">
        <v>19</v>
      </c>
      <c r="S20" s="5" t="inlineStr">
        <is>
          <t>Presenter loses connection</t>
        </is>
      </c>
      <c r="T20" s="9" t="n">
        <v>4</v>
      </c>
      <c r="W20" s="4" t="inlineStr">
        <is>
          <t>Presenter loses connection</t>
        </is>
      </c>
    </row>
    <row r="21">
      <c r="A21" s="8" t="inlineStr">
        <is>
          <t>alt/cmd/x</t>
        </is>
      </c>
      <c r="C21" s="14" t="n">
        <v>20</v>
      </c>
      <c r="D21" s="6" t="inlineStr">
        <is>
          <t>Interval act has over 30 people on stage</t>
        </is>
      </c>
      <c r="E21" s="25" t="n">
        <v>4</v>
      </c>
      <c r="F21" t="n">
        <v>1</v>
      </c>
      <c r="H21" s="14" t="n">
        <v>20</v>
      </c>
      <c r="I21" s="5" t="inlineStr">
        <is>
          <t>Interval act has over 30 people on stage</t>
        </is>
      </c>
      <c r="J21" s="9" t="n">
        <v>7</v>
      </c>
      <c r="M21" s="18" t="n">
        <v>20</v>
      </c>
      <c r="N21" s="5" t="inlineStr">
        <is>
          <t>Interval act has over 30 people on stage</t>
        </is>
      </c>
      <c r="O21" s="9" t="n">
        <v>4</v>
      </c>
      <c r="R21" s="29" t="n">
        <v>20</v>
      </c>
      <c r="S21" s="6" t="inlineStr">
        <is>
          <t>Interval act has over 30 people on stage</t>
        </is>
      </c>
      <c r="T21" s="9" t="n">
        <v>4</v>
      </c>
      <c r="W21" s="4" t="inlineStr">
        <is>
          <t>Stage Invasion</t>
        </is>
      </c>
    </row>
    <row r="22">
      <c r="A22" s="24" t="inlineStr">
        <is>
          <t>-</t>
        </is>
      </c>
      <c r="C22" s="14" t="n">
        <v>21</v>
      </c>
      <c r="D22" s="6" t="inlineStr">
        <is>
          <t>Televote favorite wins</t>
        </is>
      </c>
      <c r="E22" s="25" t="n">
        <v>5</v>
      </c>
      <c r="F22" t="n">
        <v>1</v>
      </c>
      <c r="H22" s="14" t="n">
        <v>21</v>
      </c>
      <c r="I22" s="5" t="inlineStr">
        <is>
          <t>Televote favorite wins</t>
        </is>
      </c>
      <c r="J22" s="9" t="n">
        <v>6</v>
      </c>
      <c r="M22" s="18" t="n">
        <v>21</v>
      </c>
      <c r="N22" s="5" t="inlineStr">
        <is>
          <t>Televote favorite wins</t>
        </is>
      </c>
      <c r="O22" s="9" t="n">
        <v>2</v>
      </c>
      <c r="R22" s="29" t="n">
        <v>21</v>
      </c>
      <c r="S22" s="5" t="inlineStr">
        <is>
          <t>Televote favorite wins</t>
        </is>
      </c>
      <c r="T22" s="9" t="n">
        <v>5</v>
      </c>
      <c r="W22" s="4" t="inlineStr">
        <is>
          <t>Public favorite wins</t>
        </is>
      </c>
    </row>
    <row r="23">
      <c r="A23" s="8" t="inlineStr">
        <is>
          <t>alt/cmd/z</t>
        </is>
      </c>
      <c r="C23" s="14" t="n">
        <v>22</v>
      </c>
      <c r="D23" s="6" t="inlineStr">
        <is>
          <t>Failed high note / Voice crack</t>
        </is>
      </c>
      <c r="E23" s="25" t="n">
        <v>6</v>
      </c>
      <c r="F23" t="n">
        <v>1</v>
      </c>
      <c r="H23" s="14" t="n">
        <v>22</v>
      </c>
      <c r="I23" s="5" t="inlineStr">
        <is>
          <t>Failed high note / Voice crack</t>
        </is>
      </c>
      <c r="J23" s="9" t="n">
        <v>8</v>
      </c>
      <c r="M23" s="18" t="n">
        <v>22</v>
      </c>
      <c r="N23" s="6" t="inlineStr">
        <is>
          <t>Failed high note / Voice crack</t>
        </is>
      </c>
      <c r="O23" s="9" t="n">
        <v>7</v>
      </c>
      <c r="R23" s="29" t="n">
        <v>22</v>
      </c>
      <c r="S23" s="5" t="inlineStr">
        <is>
          <t>Failed high note / Voice crack</t>
        </is>
      </c>
      <c r="T23" s="9" t="n">
        <v>8</v>
      </c>
      <c r="W23" s="4" t="inlineStr">
        <is>
          <t>Failed high note / Voice crack</t>
        </is>
      </c>
    </row>
    <row r="24">
      <c r="C24" s="18" t="n">
        <v>23</v>
      </c>
      <c r="D24" s="10" t="inlineStr">
        <is>
          <t>Germany ends up on the left side of the scoreboard</t>
        </is>
      </c>
      <c r="E24" s="25" t="n">
        <v>3</v>
      </c>
      <c r="H24" s="18" t="n">
        <v>23</v>
      </c>
      <c r="I24" s="10" t="inlineStr">
        <is>
          <t>Germany ends up on the left side of the scoreboard</t>
        </is>
      </c>
      <c r="J24" s="8" t="n">
        <v>9</v>
      </c>
      <c r="M24" s="18" t="n">
        <v>23</v>
      </c>
      <c r="N24" s="7" t="inlineStr">
        <is>
          <t>Germany ends up on the left side of the scoreboard</t>
        </is>
      </c>
      <c r="O24" s="8" t="n">
        <v>3</v>
      </c>
      <c r="R24" s="29" t="n">
        <v>23</v>
      </c>
      <c r="S24" s="10" t="inlineStr">
        <is>
          <t>Germany ends up on the left side of the scoreboard</t>
        </is>
      </c>
      <c r="T24" s="8" t="n">
        <v>5</v>
      </c>
      <c r="W24" s="4" t="inlineStr">
        <is>
          <t>Germany ends up with an at least two-digit score</t>
        </is>
      </c>
    </row>
    <row r="25">
      <c r="C25" s="14" t="n">
        <v>24</v>
      </c>
      <c r="D25" s="5" t="inlineStr">
        <is>
          <t>A non-favorite ends up in the Top 5</t>
        </is>
      </c>
      <c r="E25" s="25" t="n">
        <v>4</v>
      </c>
      <c r="H25" s="14" t="n">
        <v>24</v>
      </c>
      <c r="I25" s="6" t="inlineStr">
        <is>
          <t>A non-favorite ends up in the Top 5</t>
        </is>
      </c>
      <c r="J25" s="9" t="n">
        <v>9</v>
      </c>
      <c r="K25" t="n">
        <v>1</v>
      </c>
      <c r="M25" s="18" t="n">
        <v>24</v>
      </c>
      <c r="N25" s="5" t="inlineStr">
        <is>
          <t>A non-favorite ends up in the Top 5</t>
        </is>
      </c>
      <c r="O25" s="9" t="n">
        <v>5</v>
      </c>
      <c r="R25" s="29" t="n">
        <v>24</v>
      </c>
      <c r="S25" s="5" t="inlineStr">
        <is>
          <t>A non-favorite ends up in the Top 5</t>
        </is>
      </c>
      <c r="T25" s="9" t="n">
        <v>5</v>
      </c>
      <c r="W25" s="4" t="inlineStr">
        <is>
          <t>Subwoolfer speak or reveal identity</t>
        </is>
      </c>
    </row>
    <row r="26">
      <c r="C26" s="14" t="n">
        <v>25</v>
      </c>
      <c r="D26" s="6" t="inlineStr">
        <is>
          <t>Any country manages to beat their best placement so far</t>
        </is>
      </c>
      <c r="E26" s="25" t="n">
        <v>3</v>
      </c>
      <c r="F26" t="n">
        <v>1</v>
      </c>
      <c r="H26" s="14" t="n">
        <v>25</v>
      </c>
      <c r="I26" s="5" t="inlineStr">
        <is>
          <t>Any country manages to beat their best placement so far</t>
        </is>
      </c>
      <c r="J26" s="9" t="n">
        <v>6</v>
      </c>
      <c r="M26" s="18" t="n">
        <v>25</v>
      </c>
      <c r="N26" s="6" t="inlineStr">
        <is>
          <t>Any country manages to beat their best placement so far</t>
        </is>
      </c>
      <c r="O26" s="9" t="n">
        <v>6</v>
      </c>
      <c r="R26" s="29" t="n">
        <v>25</v>
      </c>
      <c r="S26" s="5" t="inlineStr">
        <is>
          <t>Any country manages to beat their best placement so far</t>
        </is>
      </c>
      <c r="T26" s="9" t="n">
        <v>0</v>
      </c>
      <c r="W26" s="4" t="inlineStr">
        <is>
          <t>Reference to a past Eurovision moment</t>
        </is>
      </c>
    </row>
    <row r="27">
      <c r="C27" s="14" t="n">
        <v>26</v>
      </c>
      <c r="D27" s="5" t="inlineStr">
        <is>
          <t>Germany receives more than 7 jury points from a single non-neighboring country</t>
        </is>
      </c>
      <c r="E27" s="25" t="n">
        <v>2</v>
      </c>
      <c r="H27" s="13" t="n">
        <v>26</v>
      </c>
      <c r="I27" s="6" t="inlineStr">
        <is>
          <t>Germany receives more than 7 jury points from a single non-neighboring country</t>
        </is>
      </c>
      <c r="J27" s="9" t="n">
        <v>4</v>
      </c>
      <c r="K27" t="n">
        <v>1</v>
      </c>
      <c r="M27" s="19" t="n">
        <v>26</v>
      </c>
      <c r="N27" s="6" t="inlineStr">
        <is>
          <t>Germany receives jury points from a non-neighboring country</t>
        </is>
      </c>
      <c r="O27" s="9" t="n">
        <v>7</v>
      </c>
      <c r="R27" s="29" t="n">
        <v>26</v>
      </c>
      <c r="S27" s="6" t="inlineStr">
        <is>
          <t>Spoken sentence in a language other than English, Ukrainian, or French</t>
        </is>
      </c>
      <c r="T27" s="9" t="n">
        <v>7</v>
      </c>
      <c r="W27" s="4" t="inlineStr">
        <is>
          <t>Spoken sentence in a language other than English, Italian, or French</t>
        </is>
      </c>
    </row>
    <row r="28">
      <c r="C28" s="12" t="n">
        <v>27</v>
      </c>
      <c r="D28" s="6" t="inlineStr">
        <is>
          <t>Someone makes a Covid-related comment</t>
        </is>
      </c>
      <c r="E28" s="25" t="n">
        <v>5</v>
      </c>
      <c r="F28" t="n">
        <v>1</v>
      </c>
      <c r="H28" s="12" t="n">
        <v>27</v>
      </c>
      <c r="I28" s="6" t="inlineStr">
        <is>
          <t>Someone comments on the fact that it’s the 69th edition of the Eurovision Song Contest</t>
        </is>
      </c>
      <c r="J28" s="9" t="n">
        <v>10</v>
      </c>
      <c r="K28" t="n">
        <v>1</v>
      </c>
      <c r="M28" s="20" t="n">
        <v>27</v>
      </c>
      <c r="N28" s="5" t="inlineStr">
        <is>
          <t>Petra Mede makes a NSFW joke</t>
        </is>
      </c>
      <c r="O28" s="9" t="n">
        <v>4</v>
      </c>
      <c r="R28" s="29" t="n">
        <v>27</v>
      </c>
      <c r="S28" s="6" t="inlineStr">
        <is>
          <t>Someone doesn't understand British humor</t>
        </is>
      </c>
      <c r="T28" s="9" t="n">
        <v>4</v>
      </c>
      <c r="W28" s="4" t="inlineStr">
        <is>
          <t>English speaking song wins</t>
        </is>
      </c>
    </row>
    <row r="29">
      <c r="C29" s="14" t="n">
        <v>28</v>
      </c>
      <c r="D29" s="6" t="inlineStr">
        <is>
          <t>Audience audibly cheers an artist's name or a specific country</t>
        </is>
      </c>
      <c r="E29" s="25" t="n">
        <v>7</v>
      </c>
      <c r="F29" t="n">
        <v>1</v>
      </c>
      <c r="H29" s="12" t="n">
        <v>28</v>
      </c>
      <c r="I29" s="6" t="inlineStr">
        <is>
          <t>Audience audibly cheers an artist's name or a specific country</t>
        </is>
      </c>
      <c r="J29" s="9" t="n">
        <v>10</v>
      </c>
      <c r="K29" t="n">
        <v>1</v>
      </c>
      <c r="M29" s="18" t="n">
        <v>28</v>
      </c>
      <c r="N29" s="6" t="inlineStr">
        <is>
          <t>Someone blows a kiss into the camera</t>
        </is>
      </c>
      <c r="O29" s="9" t="n">
        <v>10</v>
      </c>
      <c r="R29" s="29" t="n">
        <v>28</v>
      </c>
      <c r="S29" s="6" t="inlineStr">
        <is>
          <t>Someone blows a kiss into the camera</t>
        </is>
      </c>
      <c r="T29" s="9" t="n">
        <v>7</v>
      </c>
      <c r="W29" s="4" t="inlineStr">
        <is>
          <t>Artist signaling a phone with their hand</t>
        </is>
      </c>
    </row>
    <row r="30">
      <c r="C30" s="14" t="n">
        <v>29</v>
      </c>
      <c r="D30" s="6" t="inlineStr">
        <is>
          <t>Kissing on the lips</t>
        </is>
      </c>
      <c r="E30" s="25" t="n">
        <v>5</v>
      </c>
      <c r="F30" t="n">
        <v>1</v>
      </c>
      <c r="H30" s="14" t="n">
        <v>29</v>
      </c>
      <c r="I30" s="5" t="inlineStr">
        <is>
          <t>Kissing on the lips</t>
        </is>
      </c>
      <c r="J30" s="9" t="n">
        <v>8</v>
      </c>
      <c r="M30" s="18" t="n">
        <v>29</v>
      </c>
      <c r="N30" s="6" t="inlineStr">
        <is>
          <t>Kissing on the lips</t>
        </is>
      </c>
      <c r="O30" s="9" t="n">
        <v>4</v>
      </c>
      <c r="R30" s="29" t="n">
        <v>29</v>
      </c>
      <c r="S30" s="5" t="inlineStr">
        <is>
          <t>Kissing on the lips</t>
        </is>
      </c>
      <c r="T30" s="9" t="n">
        <v>6</v>
      </c>
      <c r="W30" s="4" t="inlineStr">
        <is>
          <t>Kissing on the lips</t>
        </is>
      </c>
    </row>
    <row r="31">
      <c r="C31" s="14" t="n">
        <v>30</v>
      </c>
      <c r="D31" s="6" t="inlineStr">
        <is>
          <t>Underage presenter</t>
        </is>
      </c>
      <c r="E31" s="25" t="n">
        <v>2</v>
      </c>
      <c r="F31" t="n">
        <v>1</v>
      </c>
      <c r="H31" s="14" t="n">
        <v>30</v>
      </c>
      <c r="I31" s="5" t="inlineStr">
        <is>
          <t>Underage presenter</t>
        </is>
      </c>
      <c r="J31" s="9" t="n">
        <v>5</v>
      </c>
      <c r="M31" s="18" t="n">
        <v>30</v>
      </c>
      <c r="N31" s="5" t="inlineStr">
        <is>
          <t>Underage presenter</t>
        </is>
      </c>
      <c r="O31" s="9" t="n">
        <v>4</v>
      </c>
      <c r="R31" s="29" t="n">
        <v>30</v>
      </c>
      <c r="S31" s="5" t="inlineStr">
        <is>
          <t>Underage presenter</t>
        </is>
      </c>
      <c r="T31" s="9" t="n">
        <v>2</v>
      </c>
      <c r="W31" s="4" t="inlineStr">
        <is>
          <t>Underage presenter</t>
        </is>
      </c>
    </row>
    <row r="32">
      <c r="C32" s="14" t="n">
        <v>31</v>
      </c>
      <c r="D32" s="5" t="inlineStr">
        <is>
          <t>An artist is pissed off by their points</t>
        </is>
      </c>
      <c r="E32" s="25" t="n">
        <v>4</v>
      </c>
      <c r="H32" s="12" t="n">
        <v>31</v>
      </c>
      <c r="I32" s="6" t="inlineStr">
        <is>
          <t>An artist is pissed off by their points</t>
        </is>
      </c>
      <c r="J32" s="9" t="n">
        <v>5</v>
      </c>
      <c r="K32" t="n">
        <v>1</v>
      </c>
      <c r="M32" s="18" t="n">
        <v>31</v>
      </c>
      <c r="N32" s="6" t="inlineStr">
        <is>
          <t>Flag of a non-participating country</t>
        </is>
      </c>
      <c r="O32" s="9" t="n">
        <v>9</v>
      </c>
      <c r="R32" s="29" t="n">
        <v>31</v>
      </c>
      <c r="S32" s="6" t="inlineStr">
        <is>
          <t>Flag of a non-participating country</t>
        </is>
      </c>
      <c r="T32" s="9" t="n">
        <v>5</v>
      </c>
      <c r="W32" s="4" t="inlineStr">
        <is>
          <t>Flag of an eliminated country</t>
        </is>
      </c>
    </row>
    <row r="33">
      <c r="C33" s="14" t="n">
        <v>32</v>
      </c>
      <c r="D33" s="5" t="inlineStr">
        <is>
          <t>Winning song performed in starting position 1 - 10</t>
        </is>
      </c>
      <c r="E33" s="25" t="n">
        <v>4</v>
      </c>
      <c r="H33" s="13" t="n">
        <v>32</v>
      </c>
      <c r="I33" s="6" t="inlineStr">
        <is>
          <t>Winning song performed in starting position 1 - 10</t>
        </is>
      </c>
      <c r="J33" s="9" t="n">
        <v>2</v>
      </c>
      <c r="K33" t="n">
        <v>1</v>
      </c>
      <c r="M33" s="18" t="n">
        <v>32</v>
      </c>
      <c r="N33" s="5" t="inlineStr">
        <is>
          <t>Winning song performed in starting position 2 - 10</t>
        </is>
      </c>
      <c r="O33" s="9" t="n">
        <v>0</v>
      </c>
      <c r="R33" s="29" t="n">
        <v>32</v>
      </c>
      <c r="S33" s="6" t="inlineStr">
        <is>
          <t>Winning song performed in starting position 2-10</t>
        </is>
      </c>
      <c r="T33" s="9" t="n">
        <v>3</v>
      </c>
      <c r="W33" s="4" t="inlineStr">
        <is>
          <t>"Thank you Europe"</t>
        </is>
      </c>
    </row>
    <row r="34">
      <c r="C34" s="14" t="n">
        <v>33</v>
      </c>
      <c r="D34" s="6" t="inlineStr">
        <is>
          <t>A country from the right side of the scoreboard jumps to first place due to the televote.</t>
        </is>
      </c>
      <c r="E34" s="25" t="n">
        <v>3</v>
      </c>
      <c r="F34" t="n">
        <v>1</v>
      </c>
      <c r="H34" s="14" t="n">
        <v>33</v>
      </c>
      <c r="I34" s="6" t="inlineStr">
        <is>
          <t>A country from the right side of the scoreboard jumps to first place due to the televote.</t>
        </is>
      </c>
      <c r="J34" s="9" t="n">
        <v>7</v>
      </c>
      <c r="K34" t="n">
        <v>1</v>
      </c>
      <c r="M34" s="20" t="n">
        <v>33</v>
      </c>
      <c r="N34" s="5" t="inlineStr">
        <is>
          <t>A country from the right side of the scoreboard jumps to first place due to the televote</t>
        </is>
      </c>
      <c r="O34" s="9" t="n">
        <v>5</v>
      </c>
      <c r="R34" s="29" t="n">
        <v>33</v>
      </c>
      <c r="S34" s="5" t="inlineStr">
        <is>
          <t>Presenter reads out ten and eight points</t>
        </is>
      </c>
      <c r="T34" s="9" t="n">
        <v>2</v>
      </c>
      <c r="W34" s="4" t="inlineStr">
        <is>
          <t>Presenter reads out all individual points</t>
        </is>
      </c>
    </row>
    <row r="35">
      <c r="C35" s="23" t="n">
        <v>34</v>
      </c>
      <c r="D35" s="6" t="inlineStr">
        <is>
          <t>Flag of a non-participating country</t>
        </is>
      </c>
      <c r="E35" s="25" t="n">
        <v>7</v>
      </c>
      <c r="F35" t="n">
        <v>1</v>
      </c>
      <c r="H35" s="12" t="n">
        <v>34</v>
      </c>
      <c r="I35" s="5" t="inlineStr">
        <is>
          <t>Any funny skit in Swiss German</t>
        </is>
      </c>
      <c r="J35" s="9" t="n">
        <v>7</v>
      </c>
      <c r="M35" s="20" t="n">
        <v>34</v>
      </c>
      <c r="N35" s="5" t="inlineStr">
        <is>
          <t>No mention of ABBA</t>
        </is>
      </c>
      <c r="O35" s="9" t="n">
        <v>0</v>
      </c>
      <c r="R35" s="29" t="n">
        <v>34</v>
      </c>
      <c r="S35" s="5" t="inlineStr">
        <is>
          <t>Germany receives 12 jury points from a country</t>
        </is>
      </c>
      <c r="T35" s="9" t="n">
        <v>4</v>
      </c>
      <c r="W35" s="4" t="inlineStr">
        <is>
          <t>Germany receives jury points from a non-neighboring country</t>
        </is>
      </c>
    </row>
    <row r="36">
      <c r="C36" s="14" t="n">
        <v>35</v>
      </c>
      <c r="D36" s="5" t="inlineStr">
        <is>
          <t>Winning song does not contain English lyrics</t>
        </is>
      </c>
      <c r="E36" s="25" t="n">
        <v>2</v>
      </c>
      <c r="H36" s="14" t="n">
        <v>35</v>
      </c>
      <c r="I36" s="5" t="inlineStr">
        <is>
          <t>Winning song does not contain English lyrics</t>
        </is>
      </c>
      <c r="J36" s="9" t="n">
        <v>10</v>
      </c>
      <c r="M36" s="20" t="n">
        <v>35</v>
      </c>
      <c r="N36" s="5" t="inlineStr">
        <is>
          <t>Winning song does not contain English lyrics</t>
        </is>
      </c>
      <c r="O36" s="9" t="n">
        <v>3</v>
      </c>
      <c r="R36" s="29" t="n">
        <v>35</v>
      </c>
      <c r="S36" s="5" t="inlineStr">
        <is>
          <t>Praise for a male's outfit</t>
        </is>
      </c>
      <c r="T36" s="9" t="n">
        <v>4</v>
      </c>
      <c r="W36" s="4" t="inlineStr">
        <is>
          <t>"You look beautiful tonight"</t>
        </is>
      </c>
    </row>
    <row r="37">
      <c r="C37" s="14" t="n">
        <v>36</v>
      </c>
      <c r="D37" s="6" t="inlineStr">
        <is>
          <t>"(I'm Sorry,) Zero Points"</t>
        </is>
      </c>
      <c r="E37" s="25" t="n">
        <v>5</v>
      </c>
      <c r="F37" t="n">
        <v>1</v>
      </c>
      <c r="H37" s="14" t="n">
        <v>36</v>
      </c>
      <c r="I37" s="6" t="inlineStr">
        <is>
          <t>"(I'm Sorry,) Zero Points"</t>
        </is>
      </c>
      <c r="J37" s="9" t="n">
        <v>7</v>
      </c>
      <c r="K37" t="n">
        <v>1</v>
      </c>
      <c r="M37" s="18" t="n">
        <v>36</v>
      </c>
      <c r="N37" s="6" t="inlineStr">
        <is>
          <t>"(I'm Sorry,) Zero Points"</t>
        </is>
      </c>
      <c r="O37" s="9" t="n">
        <v>6</v>
      </c>
      <c r="R37" s="29" t="n">
        <v>36</v>
      </c>
      <c r="S37" s="6" t="inlineStr">
        <is>
          <t>"(I'm Sorry,) Zero Points"</t>
        </is>
      </c>
      <c r="T37" s="9" t="n">
        <v>6</v>
      </c>
      <c r="W37" s="4" t="inlineStr">
        <is>
          <t>"(I'm Sorry,) Zero Points"</t>
        </is>
      </c>
    </row>
    <row r="38">
      <c r="C38" s="13" t="n">
        <v>37</v>
      </c>
      <c r="D38" s="6" t="inlineStr">
        <is>
          <t>Naming a past winner who is not present in Vienna</t>
        </is>
      </c>
      <c r="E38" s="25" t="n">
        <v>7</v>
      </c>
      <c r="F38" t="n">
        <v>1</v>
      </c>
      <c r="H38" s="13" t="n">
        <v>37</v>
      </c>
      <c r="I38" s="5" t="inlineStr">
        <is>
          <t>Naming a past winner who is not present in Basel</t>
        </is>
      </c>
      <c r="J38" s="9" t="n">
        <v>9</v>
      </c>
      <c r="M38" s="19" t="n">
        <v>37</v>
      </c>
      <c r="N38" s="6" t="inlineStr">
        <is>
          <t>Naming a past winner who is not present in Malmö (excluding ABBA)</t>
        </is>
      </c>
      <c r="O38" s="9" t="n">
        <v>8</v>
      </c>
      <c r="R38" s="29" t="n">
        <v>37</v>
      </c>
      <c r="S38" s="6" t="inlineStr">
        <is>
          <t>Naming a past winner who is not present in Liverpool</t>
        </is>
      </c>
      <c r="T38" s="9" t="n">
        <v>7</v>
      </c>
      <c r="W38" s="4" t="inlineStr">
        <is>
          <t>Naming a past winner other than Måneskin</t>
        </is>
      </c>
    </row>
    <row r="39">
      <c r="C39" s="13" t="n">
        <v>38</v>
      </c>
      <c r="D39" s="5" t="inlineStr">
        <is>
          <t>"Douze points" gets mentioned before the points are announced</t>
        </is>
      </c>
      <c r="E39" s="25" t="n">
        <v>1</v>
      </c>
      <c r="H39" s="12" t="n">
        <v>38</v>
      </c>
      <c r="I39" s="5" t="inlineStr">
        <is>
          <t>Someone mentions "Douze points" before the points are announced</t>
        </is>
      </c>
      <c r="J39" s="9" t="n">
        <v>1</v>
      </c>
      <c r="M39" s="18" t="n">
        <v>38</v>
      </c>
      <c r="N39" s="6" t="inlineStr">
        <is>
          <t>Artist hide behind flag</t>
        </is>
      </c>
      <c r="O39" s="9" t="n">
        <v>9</v>
      </c>
      <c r="R39" s="29" t="n">
        <v>38</v>
      </c>
      <c r="S39" s="5" t="inlineStr">
        <is>
          <t>Artist hide behind flag</t>
        </is>
      </c>
      <c r="T39" s="9" t="n">
        <v>5</v>
      </c>
      <c r="W39" s="4" t="inlineStr">
        <is>
          <t>Artist hide behind flag</t>
        </is>
      </c>
    </row>
    <row r="40">
      <c r="C40" s="13" t="n">
        <v>39</v>
      </c>
      <c r="D40" s="5" t="inlineStr">
        <is>
          <t>Presenter messes up their announcement of points</t>
        </is>
      </c>
      <c r="E40" s="25" t="n">
        <v>1</v>
      </c>
      <c r="H40" s="14" t="n">
        <v>39</v>
      </c>
      <c r="I40" s="5" t="inlineStr">
        <is>
          <t>Presenter messes up points</t>
        </is>
      </c>
      <c r="J40" s="9" t="n">
        <v>1</v>
      </c>
      <c r="M40" s="18" t="n">
        <v>39</v>
      </c>
      <c r="N40" s="5" t="inlineStr">
        <is>
          <t>Presenter messes up points</t>
        </is>
      </c>
      <c r="O40" s="9" t="n">
        <v>0</v>
      </c>
      <c r="R40" s="29" t="n">
        <v>39</v>
      </c>
      <c r="S40" s="5" t="inlineStr">
        <is>
          <t>Presenter messes up points</t>
        </is>
      </c>
      <c r="T40" s="9" t="n">
        <v>4</v>
      </c>
      <c r="W40" s="4" t="inlineStr">
        <is>
          <t>Presenter messes up points</t>
        </is>
      </c>
    </row>
    <row r="41">
      <c r="C41" s="14" t="n">
        <v>40</v>
      </c>
      <c r="D41" s="5" t="inlineStr">
        <is>
          <t>Mispronunciation of an artists name</t>
        </is>
      </c>
      <c r="E41" s="25" t="n">
        <v>5</v>
      </c>
      <c r="H41" s="14" t="n">
        <v>40</v>
      </c>
      <c r="I41" s="5" t="inlineStr">
        <is>
          <t>Mispronunciation of an artists name</t>
        </is>
      </c>
      <c r="J41" s="9" t="n">
        <v>10</v>
      </c>
      <c r="M41" s="18" t="n">
        <v>40</v>
      </c>
      <c r="N41" s="5" t="inlineStr">
        <is>
          <t>Mispronunciation of an artists name</t>
        </is>
      </c>
      <c r="O41" s="9" t="n">
        <v>7</v>
      </c>
      <c r="R41" s="29" t="n">
        <v>40</v>
      </c>
      <c r="S41" s="5" t="inlineStr">
        <is>
          <t>Mispronunciation of an artists name</t>
        </is>
      </c>
      <c r="T41" s="9" t="n">
        <v>4</v>
      </c>
      <c r="W41" s="4" t="inlineStr">
        <is>
          <t>Mispronunciation of an artists name</t>
        </is>
      </c>
    </row>
    <row r="42">
      <c r="C42" s="14" t="n">
        <v>41</v>
      </c>
      <c r="D42" s="6" t="inlineStr">
        <is>
          <t>Fan Favorite flops in the televote</t>
        </is>
      </c>
      <c r="E42" s="25" t="n">
        <v>5</v>
      </c>
      <c r="F42" t="n">
        <v>1</v>
      </c>
      <c r="H42" s="14" t="n">
        <v>41</v>
      </c>
      <c r="I42" s="6" t="inlineStr">
        <is>
          <t>Fan Favorite flops in the televote</t>
        </is>
      </c>
      <c r="J42" s="9" t="n">
        <v>6</v>
      </c>
      <c r="K42" t="n">
        <v>1</v>
      </c>
      <c r="M42" s="18" t="n">
        <v>41</v>
      </c>
      <c r="N42" s="6" t="inlineStr">
        <is>
          <t>Fan Favorite flops in the televote</t>
        </is>
      </c>
      <c r="O42" s="9" t="n">
        <v>4</v>
      </c>
      <c r="R42" s="29" t="n">
        <v>41</v>
      </c>
      <c r="S42" s="6" t="inlineStr">
        <is>
          <t>Fan Favorite flops in the televote</t>
        </is>
      </c>
      <c r="T42" s="9" t="n">
        <v>3</v>
      </c>
      <c r="W42" s="4" t="inlineStr">
        <is>
          <t>Fan Favorite flops in the televote</t>
        </is>
      </c>
    </row>
    <row r="43">
      <c r="C43" s="14" t="n">
        <v>42</v>
      </c>
      <c r="D43" s="6" t="inlineStr">
        <is>
          <t>Jury favorite wins</t>
        </is>
      </c>
      <c r="E43" s="25" t="n">
        <v>0</v>
      </c>
      <c r="F43" t="n">
        <v>1</v>
      </c>
      <c r="H43" s="14" t="n">
        <v>42</v>
      </c>
      <c r="I43" s="6" t="inlineStr">
        <is>
          <t>Jury favorite wins</t>
        </is>
      </c>
      <c r="J43" s="9" t="n">
        <v>3</v>
      </c>
      <c r="K43" t="n">
        <v>1</v>
      </c>
      <c r="M43" s="18" t="n">
        <v>42</v>
      </c>
      <c r="N43" s="6" t="inlineStr">
        <is>
          <t>Jury favorite wins</t>
        </is>
      </c>
      <c r="O43" s="9" t="n">
        <v>1</v>
      </c>
      <c r="R43" s="29" t="n">
        <v>42</v>
      </c>
      <c r="S43" s="6" t="inlineStr">
        <is>
          <t>Jury favorite wins</t>
        </is>
      </c>
      <c r="T43" s="9" t="n">
        <v>4</v>
      </c>
      <c r="W43" s="4" t="inlineStr">
        <is>
          <t>Jury favorite wins</t>
        </is>
      </c>
    </row>
    <row r="44">
      <c r="C44" s="14" t="n">
        <v>43</v>
      </c>
      <c r="D44" s="6" t="inlineStr">
        <is>
          <t>12 jury points go to a non-favorite, non-neighboring country (excluding Australia)</t>
        </is>
      </c>
      <c r="E44" s="25" t="n">
        <v>4</v>
      </c>
      <c r="F44" t="n">
        <v>1</v>
      </c>
      <c r="H44" s="14" t="n">
        <v>43</v>
      </c>
      <c r="I44" s="6" t="inlineStr">
        <is>
          <t>12 jury points go to a non-favorite, non-neighboring country (excluding Australia)</t>
        </is>
      </c>
      <c r="J44" s="9" t="n">
        <v>3</v>
      </c>
      <c r="K44" t="n">
        <v>1</v>
      </c>
      <c r="M44" s="19" t="n">
        <v>43</v>
      </c>
      <c r="N44" s="6" t="inlineStr">
        <is>
          <t>12 jury points go to a non-favorite, non-neighboring country (excluding Australia)</t>
        </is>
      </c>
      <c r="O44" s="9" t="n">
        <v>5</v>
      </c>
      <c r="R44" s="29" t="n">
        <v>43</v>
      </c>
      <c r="S44" s="6" t="inlineStr">
        <is>
          <t>12 jury points go to a non-favorite, non-neighboring country</t>
        </is>
      </c>
      <c r="T44" s="9" t="n">
        <v>1</v>
      </c>
      <c r="W44" s="4" t="inlineStr">
        <is>
          <t>12 points from Cyprus go to Greece</t>
        </is>
      </c>
    </row>
    <row r="45">
      <c r="C45" s="14" t="n">
        <v>44</v>
      </c>
      <c r="D45" s="6" t="inlineStr">
        <is>
          <t>Sweden is not the jury's favorite</t>
        </is>
      </c>
      <c r="E45" s="25" t="n">
        <v>7</v>
      </c>
      <c r="F45" t="n">
        <v>1</v>
      </c>
      <c r="H45" s="14" t="n">
        <v>44</v>
      </c>
      <c r="I45" s="6" t="inlineStr">
        <is>
          <t>Sweden is not the jury's favorite</t>
        </is>
      </c>
      <c r="J45" s="9" t="n">
        <v>5</v>
      </c>
      <c r="K45" t="n">
        <v>1</v>
      </c>
      <c r="M45" s="18" t="n">
        <v>44</v>
      </c>
      <c r="N45" s="6" t="inlineStr">
        <is>
          <t>Sweden is not the jury's favorite</t>
        </is>
      </c>
      <c r="O45" s="9" t="n">
        <v>5</v>
      </c>
      <c r="R45" s="29" t="n">
        <v>44</v>
      </c>
      <c r="S45" s="5" t="inlineStr">
        <is>
          <t>Sweden is not the jury's favorite</t>
        </is>
      </c>
      <c r="T45" s="9" t="n">
        <v>3</v>
      </c>
      <c r="W45" s="4" t="inlineStr">
        <is>
          <t>Sweden is the jury's favorite</t>
        </is>
      </c>
    </row>
    <row r="46">
      <c r="C46" s="14" t="n">
        <v>45</v>
      </c>
      <c r="D46" s="6" t="inlineStr">
        <is>
          <t>The last place ends up with a one-digit score</t>
        </is>
      </c>
      <c r="E46" s="25" t="n">
        <v>4</v>
      </c>
      <c r="F46" t="n">
        <v>1</v>
      </c>
      <c r="H46" s="14" t="n">
        <v>45</v>
      </c>
      <c r="I46" s="5" t="inlineStr">
        <is>
          <t>The last place ends up with a one-digit score</t>
        </is>
      </c>
      <c r="J46" s="9" t="n">
        <v>6</v>
      </c>
      <c r="M46" s="20" t="n">
        <v>45</v>
      </c>
      <c r="N46" s="5" t="inlineStr">
        <is>
          <t>The last place ends up with a one-digit score</t>
        </is>
      </c>
      <c r="O46" s="9" t="n">
        <v>6</v>
      </c>
      <c r="R46" s="29" t="n">
        <v>45</v>
      </c>
      <c r="S46" s="5" t="inlineStr">
        <is>
          <t>Awkward atmosphere before the countdown</t>
        </is>
      </c>
      <c r="T46" s="9" t="n">
        <v>5</v>
      </c>
      <c r="W46" s="4" t="inlineStr">
        <is>
          <t>Awkwardness before the countdown</t>
        </is>
      </c>
    </row>
    <row r="47">
      <c r="C47" s="13" t="n">
        <v>46</v>
      </c>
      <c r="D47" s="5" t="inlineStr">
        <is>
          <t xml:space="preserve">Pride flag other than the rainbow flag </t>
        </is>
      </c>
      <c r="E47" s="25" t="n">
        <v>5</v>
      </c>
      <c r="H47" s="13" t="n">
        <v>46</v>
      </c>
      <c r="I47" s="5" t="inlineStr">
        <is>
          <t xml:space="preserve">Pride flag other than the standard rainbow flag </t>
        </is>
      </c>
      <c r="J47" s="9" t="n">
        <v>11</v>
      </c>
      <c r="M47" s="19" t="n">
        <v>46</v>
      </c>
      <c r="N47" s="6" t="inlineStr">
        <is>
          <t>Someone brings a pride flag other than the standard rainbow flag to the flag parade</t>
        </is>
      </c>
      <c r="O47" s="9" t="n">
        <v>9</v>
      </c>
      <c r="R47" s="29" t="n">
        <v>46</v>
      </c>
      <c r="S47" s="5" t="inlineStr">
        <is>
          <t>Pride flag other than the rainbow flag</t>
        </is>
      </c>
      <c r="T47" s="9" t="n">
        <v>7</v>
      </c>
      <c r="W47" s="4" t="inlineStr">
        <is>
          <t>Pride flag</t>
        </is>
      </c>
    </row>
    <row r="48">
      <c r="C48" s="14" t="n">
        <v>47</v>
      </c>
      <c r="D48" s="6" t="inlineStr">
        <is>
          <t>Eifel Tower</t>
        </is>
      </c>
      <c r="E48" s="25" t="n">
        <v>7</v>
      </c>
      <c r="F48" t="n">
        <v>1</v>
      </c>
      <c r="H48" s="14" t="n">
        <v>47</v>
      </c>
      <c r="I48" s="6" t="inlineStr">
        <is>
          <t>Eifel Tower</t>
        </is>
      </c>
      <c r="J48" s="9" t="n">
        <v>11</v>
      </c>
      <c r="K48" t="n">
        <v>1</v>
      </c>
      <c r="M48" s="18" t="n">
        <v>47</v>
      </c>
      <c r="N48" s="6" t="inlineStr">
        <is>
          <t>Eifel Tower</t>
        </is>
      </c>
      <c r="O48" s="9" t="n">
        <v>9</v>
      </c>
      <c r="R48" s="29" t="n">
        <v>47</v>
      </c>
      <c r="S48" s="6" t="inlineStr">
        <is>
          <t>Eifel Tower</t>
        </is>
      </c>
      <c r="T48" s="9" t="n">
        <v>8</v>
      </c>
      <c r="W48" s="4" t="inlineStr">
        <is>
          <t>Eifel Tower</t>
        </is>
      </c>
    </row>
    <row r="49">
      <c r="C49" s="14" t="n">
        <v>48</v>
      </c>
      <c r="D49" s="6" t="inlineStr">
        <is>
          <t>Camera malfunction</t>
        </is>
      </c>
      <c r="E49" s="25" t="n">
        <v>0</v>
      </c>
      <c r="F49" t="n">
        <v>1</v>
      </c>
      <c r="H49" s="14" t="n">
        <v>48</v>
      </c>
      <c r="I49" s="6" t="inlineStr">
        <is>
          <t>Camera malfunction</t>
        </is>
      </c>
      <c r="J49" s="9" t="n">
        <v>4</v>
      </c>
      <c r="K49" t="n">
        <v>1</v>
      </c>
      <c r="M49" s="18" t="n">
        <v>48</v>
      </c>
      <c r="N49" s="6" t="inlineStr">
        <is>
          <t>Camera malfunction</t>
        </is>
      </c>
      <c r="O49" s="9" t="n">
        <v>4</v>
      </c>
      <c r="R49" s="29" t="n">
        <v>48</v>
      </c>
      <c r="S49" s="6" t="inlineStr">
        <is>
          <t>Camera malfunction</t>
        </is>
      </c>
      <c r="T49" s="9" t="n">
        <v>3</v>
      </c>
      <c r="W49" s="4" t="inlineStr">
        <is>
          <t>Camera malfunction</t>
        </is>
      </c>
    </row>
    <row r="50">
      <c r="C50" s="12" t="n">
        <v>49</v>
      </c>
      <c r="D50" s="5" t="inlineStr">
        <is>
          <t>Winning country has already won at least once since the year 2000</t>
        </is>
      </c>
      <c r="E50" s="25" t="n">
        <v>7</v>
      </c>
      <c r="H50" s="14" t="n">
        <v>49</v>
      </c>
      <c r="I50" s="5" t="inlineStr">
        <is>
          <t>Voting irregularities</t>
        </is>
      </c>
      <c r="J50" s="9" t="n">
        <v>3</v>
      </c>
      <c r="M50" s="18" t="n">
        <v>49</v>
      </c>
      <c r="N50" s="5" t="inlineStr">
        <is>
          <t>Voting irregularities</t>
        </is>
      </c>
      <c r="O50" s="9" t="n">
        <v>2</v>
      </c>
      <c r="R50" s="29" t="n">
        <v>49</v>
      </c>
      <c r="S50" s="5" t="inlineStr">
        <is>
          <t>Voting irregularities</t>
        </is>
      </c>
      <c r="T50" s="9" t="n">
        <v>0</v>
      </c>
      <c r="W50" s="4" t="inlineStr">
        <is>
          <t>"I'm speechless"</t>
        </is>
      </c>
    </row>
    <row r="51">
      <c r="C51" s="14" t="n">
        <v>50</v>
      </c>
      <c r="D51" s="5" t="inlineStr">
        <is>
          <t>Technical issues causing a repeat performance</t>
        </is>
      </c>
      <c r="E51" s="25" t="n">
        <v>0</v>
      </c>
      <c r="H51" s="14" t="n">
        <v>50</v>
      </c>
      <c r="I51" s="5" t="inlineStr">
        <is>
          <t>Technical issues causing a repeat performance</t>
        </is>
      </c>
      <c r="J51" s="9" t="n">
        <v>3</v>
      </c>
      <c r="M51" s="18" t="n">
        <v>50</v>
      </c>
      <c r="N51" s="5" t="inlineStr">
        <is>
          <t>Technical issues causing a repeat performance</t>
        </is>
      </c>
      <c r="O51" s="9" t="n">
        <v>0</v>
      </c>
      <c r="R51" s="29" t="n">
        <v>50</v>
      </c>
      <c r="S51" s="5" t="inlineStr">
        <is>
          <t>Technical issues causing a repeat performance</t>
        </is>
      </c>
      <c r="T51" s="9" t="n">
        <v>1</v>
      </c>
      <c r="W51" s="4" t="inlineStr">
        <is>
          <t>Technical issues causing a repeat performance</t>
        </is>
      </c>
    </row>
    <row r="53">
      <c r="C53" s="8" t="inlineStr">
        <is>
          <t>31/50</t>
        </is>
      </c>
      <c r="D53" s="7" t="inlineStr">
        <is>
          <t>"Our twelve points go to…"</t>
        </is>
      </c>
      <c r="E53" s="21" t="n">
        <v>9</v>
      </c>
      <c r="F53" t="n">
        <v>1</v>
      </c>
      <c r="H53" s="8" t="inlineStr">
        <is>
          <t>24/50</t>
        </is>
      </c>
      <c r="I53" s="7" t="inlineStr">
        <is>
          <t>"You're good to go"</t>
        </is>
      </c>
      <c r="J53" s="21" t="n">
        <v>13</v>
      </c>
      <c r="K53" t="n">
        <v>1</v>
      </c>
      <c r="M53" s="11" t="inlineStr">
        <is>
          <t>26/50</t>
        </is>
      </c>
      <c r="N53" s="7" t="inlineStr">
        <is>
          <t>"You're good to go"</t>
        </is>
      </c>
      <c r="O53" s="21" t="n">
        <v>10</v>
      </c>
      <c r="R53" s="11" t="inlineStr">
        <is>
          <t>21/50</t>
        </is>
      </c>
      <c r="S53" s="7" t="inlineStr">
        <is>
          <t>"You're good to go"</t>
        </is>
      </c>
      <c r="T53" s="21" t="n">
        <v>9</v>
      </c>
      <c r="W53" t="inlineStr">
        <is>
          <t>"You're good to go"</t>
        </is>
      </c>
    </row>
    <row r="55">
      <c r="C55" s="14" t="n">
        <v>1</v>
      </c>
      <c r="D55" t="inlineStr">
        <is>
          <t xml:space="preserve">Ein ‘Big 5’ Land landet auf dem letzten Platz </t>
        </is>
      </c>
      <c r="F55" t="n">
        <v>1</v>
      </c>
      <c r="H55" s="14" t="n">
        <v>1</v>
      </c>
      <c r="I55" t="inlineStr">
        <is>
          <t xml:space="preserve">Ein ‘Big 5’ Land landet auf dem letzten Platz </t>
        </is>
      </c>
      <c r="M55" s="18" t="n">
        <v>1</v>
      </c>
      <c r="N55" t="inlineStr">
        <is>
          <t xml:space="preserve">Ein ‘Big 5’ Land landet auf dem letzten Platz </t>
        </is>
      </c>
    </row>
    <row r="56">
      <c r="C56" s="14" t="n">
        <v>2</v>
      </c>
      <c r="D56" t="inlineStr">
        <is>
          <t xml:space="preserve">Ein Kameramann ist auf der Bühne sichtbar </t>
        </is>
      </c>
      <c r="F56" t="n">
        <v>1</v>
      </c>
      <c r="H56" s="14" t="n">
        <v>2</v>
      </c>
      <c r="I56" t="inlineStr">
        <is>
          <t xml:space="preserve">Ein Kameramann ist auf der Bühne sichtbar </t>
        </is>
      </c>
      <c r="K56" t="n">
        <v>1</v>
      </c>
      <c r="M56" s="18" t="n">
        <v>2</v>
      </c>
      <c r="N56" t="inlineStr">
        <is>
          <t xml:space="preserve">Ein Kameramann ist auf der Bühne sichtbar </t>
        </is>
      </c>
    </row>
    <row r="57">
      <c r="C57" s="14" t="n">
        <v>3</v>
      </c>
      <c r="D57" t="inlineStr">
        <is>
          <t xml:space="preserve">Das Gewinnerland bricht den Rekord für die meisten Punkte (758) </t>
        </is>
      </c>
      <c r="H57" s="14" t="n">
        <v>3</v>
      </c>
      <c r="I57" t="inlineStr">
        <is>
          <t xml:space="preserve">Das Gewinnerland bricht den Rekord für die meisten Punkte (758) </t>
        </is>
      </c>
      <c r="M57" s="18" t="n">
        <v>3</v>
      </c>
      <c r="N57" t="inlineStr">
        <is>
          <t xml:space="preserve">Das Gewinnerland bricht den Rekord für die meisten Punkte (758) </t>
        </is>
      </c>
    </row>
    <row r="58">
      <c r="C58" s="14" t="n">
        <v>4</v>
      </c>
      <c r="D58" t="inlineStr">
        <is>
          <t xml:space="preserve">UK flopped und landet wieder unten </t>
        </is>
      </c>
      <c r="F58" t="n">
        <v>1</v>
      </c>
      <c r="H58" s="14" t="n">
        <v>4</v>
      </c>
      <c r="I58" t="inlineStr">
        <is>
          <t xml:space="preserve">UK flopped und landet wieder unten </t>
        </is>
      </c>
      <c r="M58" s="18" t="n">
        <v>4</v>
      </c>
      <c r="N58" t="inlineStr">
        <is>
          <t xml:space="preserve">UK flopped und landet wieder ganz unten </t>
        </is>
      </c>
    </row>
    <row r="59">
      <c r="C59" s="14" t="n">
        <v>5</v>
      </c>
      <c r="D59" t="inlineStr">
        <is>
          <t xml:space="preserve">Irgendjemand fängt an zu weinen </t>
        </is>
      </c>
      <c r="F59" t="n">
        <v>1</v>
      </c>
      <c r="H59" s="14" t="n">
        <v>5</v>
      </c>
      <c r="I59" t="inlineStr">
        <is>
          <t xml:space="preserve">Irgendjemand fängt an zu weinen </t>
        </is>
      </c>
      <c r="K59" t="n">
        <v>1</v>
      </c>
      <c r="M59" s="18" t="n">
        <v>5</v>
      </c>
      <c r="N59" t="inlineStr">
        <is>
          <t xml:space="preserve">Irgendjemand fängt an zu weinen </t>
        </is>
      </c>
    </row>
    <row r="60">
      <c r="C60" s="13" t="n">
        <v>6</v>
      </c>
      <c r="D60" t="inlineStr">
        <is>
          <t xml:space="preserve">Das Gewinnerland hat das schlechteste Endergebnis eines gewinnenden Landes (436) </t>
        </is>
      </c>
      <c r="H60" s="14" t="n">
        <v>6</v>
      </c>
      <c r="I60" t="inlineStr">
        <is>
          <t xml:space="preserve">Das Gewinnerland hat das schlechteste Endergebnis eines gewinnenden Landes (498) </t>
        </is>
      </c>
      <c r="K60" t="n">
        <v>1</v>
      </c>
      <c r="M60" s="18" t="n">
        <v>6</v>
      </c>
      <c r="N60" t="inlineStr">
        <is>
          <t xml:space="preserve">Das Gewinnerland hat das schlechteste Endergebnis eines gewinnenden Landes (498) </t>
        </is>
      </c>
    </row>
    <row r="61">
      <c r="C61" s="14" t="n">
        <v>7</v>
      </c>
      <c r="D61" t="inlineStr">
        <is>
          <t xml:space="preserve">*surprised pikachu face* </t>
        </is>
      </c>
      <c r="F61" t="n">
        <v>1</v>
      </c>
      <c r="H61" s="14" t="n">
        <v>7</v>
      </c>
      <c r="I61" t="inlineStr">
        <is>
          <t xml:space="preserve">*surprised pikachu face* </t>
        </is>
      </c>
      <c r="K61" t="n">
        <v>1</v>
      </c>
      <c r="M61" s="18" t="n">
        <v>7</v>
      </c>
      <c r="N61" t="inlineStr">
        <is>
          <t xml:space="preserve">*surprised pikachu face* </t>
        </is>
      </c>
    </row>
    <row r="62">
      <c r="C62" s="14" t="n">
        <v>8</v>
      </c>
      <c r="D62" t="inlineStr">
        <is>
          <t xml:space="preserve">Mikrofon Probleme </t>
        </is>
      </c>
      <c r="H62" s="14" t="n">
        <v>8</v>
      </c>
      <c r="I62" t="inlineStr">
        <is>
          <t xml:space="preserve">Mikrofon Probleme </t>
        </is>
      </c>
      <c r="M62" s="18" t="n">
        <v>8</v>
      </c>
      <c r="N62" t="inlineStr">
        <is>
          <t xml:space="preserve">Mikrofon Probleme </t>
        </is>
      </c>
    </row>
    <row r="63">
      <c r="C63" s="14" t="n">
        <v>9</v>
      </c>
      <c r="D63" t="inlineStr">
        <is>
          <t xml:space="preserve">Moderatorin oder Punktesprecherin singt einen ESC Song </t>
        </is>
      </c>
      <c r="F63" t="n">
        <v>1</v>
      </c>
      <c r="H63" s="14" t="n">
        <v>9</v>
      </c>
      <c r="I63" t="inlineStr">
        <is>
          <t xml:space="preserve">Moderatorin oder Punktesprecherin singt einen ESC Song </t>
        </is>
      </c>
      <c r="K63" t="n">
        <v>1</v>
      </c>
      <c r="M63" s="18" t="n">
        <v>9</v>
      </c>
      <c r="N63" t="inlineStr">
        <is>
          <t xml:space="preserve">Moderatorin oder Punktesprecherin singt einen ESC Song </t>
        </is>
      </c>
    </row>
    <row r="64">
      <c r="C64" s="14" t="n">
        <v>10</v>
      </c>
      <c r="D64" t="inlineStr">
        <is>
          <t xml:space="preserve">Das Gewinnerland ist weder bei der Jury noch bei den Zuschauern auf Platz 1 </t>
        </is>
      </c>
      <c r="H64" s="14" t="n">
        <v>10</v>
      </c>
      <c r="I64" t="inlineStr">
        <is>
          <t xml:space="preserve">Das Gewinnerland ist weder bei der Jury noch bei den Zuschauern auf Platz 1 </t>
        </is>
      </c>
      <c r="M64" s="18" t="n">
        <v>10</v>
      </c>
      <c r="N64" t="inlineStr">
        <is>
          <t xml:space="preserve">Das Gewinnerland ist weder bei der Jury noch bei den Zuschauern auf Platz 1 </t>
        </is>
      </c>
    </row>
    <row r="65">
      <c r="C65" s="14" t="n">
        <v>11</v>
      </c>
      <c r="D65" t="inlineStr">
        <is>
          <t xml:space="preserve">Das Gewinnerland ist bei der Jury und bei den Zuschauern auf Platz 1 </t>
        </is>
      </c>
      <c r="F65" t="n">
        <v>1</v>
      </c>
      <c r="H65" s="14" t="n">
        <v>11</v>
      </c>
      <c r="I65" t="inlineStr">
        <is>
          <t xml:space="preserve">Das Gewinnerland ist bei der Jury und bei den Zuschauern auf Platz 1 </t>
        </is>
      </c>
      <c r="M65" s="20" t="n">
        <v>11</v>
      </c>
      <c r="N65" t="inlineStr">
        <is>
          <t xml:space="preserve">Das Gewinnerland ist bei der Jury und bei den Zuschauern auf Platz 1 </t>
        </is>
      </c>
    </row>
    <row r="66">
      <c r="C66" s="14" t="n">
        <v>12</v>
      </c>
      <c r="D66" t="inlineStr">
        <is>
          <t xml:space="preserve">Unnötig spezifisches “Danke” nach einem Auftritt </t>
        </is>
      </c>
      <c r="F66" t="n">
        <v>1</v>
      </c>
      <c r="H66" s="14" t="n">
        <v>12</v>
      </c>
      <c r="I66" t="inlineStr">
        <is>
          <t xml:space="preserve">Unnötig spezifisches “Danke” nach einem Auftritt </t>
        </is>
      </c>
      <c r="K66" t="n">
        <v>1</v>
      </c>
      <c r="M66" s="20" t="n">
        <v>12</v>
      </c>
      <c r="N66" t="inlineStr">
        <is>
          <t xml:space="preserve">Unnötig spezifisches “Danke” nach einem Auftritt </t>
        </is>
      </c>
    </row>
    <row r="67">
      <c r="C67" s="14" t="n">
        <v>13</v>
      </c>
      <c r="D67" t="inlineStr">
        <is>
          <t xml:space="preserve">Outfit oder Requisiten Defekt </t>
        </is>
      </c>
      <c r="F67" t="n">
        <v>1</v>
      </c>
      <c r="H67" s="14" t="n">
        <v>13</v>
      </c>
      <c r="I67" t="inlineStr">
        <is>
          <t xml:space="preserve">Outfit oder Requisiten Defekt </t>
        </is>
      </c>
      <c r="K67" t="n">
        <v>1</v>
      </c>
      <c r="M67" s="18" t="n">
        <v>13</v>
      </c>
      <c r="N67" t="inlineStr">
        <is>
          <t xml:space="preserve">Outfit or Requisiten Defekt </t>
        </is>
      </c>
    </row>
    <row r="68">
      <c r="C68" s="14" t="n">
        <v>14</v>
      </c>
      <c r="D68" t="inlineStr">
        <is>
          <t xml:space="preserve">Nicht-Französisch- Sprechendes Land vergibt seine Punkte auf Französisch </t>
        </is>
      </c>
      <c r="H68" s="14" t="n">
        <v>14</v>
      </c>
      <c r="I68" t="inlineStr">
        <is>
          <t xml:space="preserve">Nicht-Französisch- Sprechendes Land vergibt seine Punkte auf Französisch </t>
        </is>
      </c>
      <c r="K68" t="n">
        <v>1</v>
      </c>
      <c r="M68" s="20" t="n">
        <v>14</v>
      </c>
      <c r="N68" t="inlineStr">
        <is>
          <t xml:space="preserve">Nicht-Französisch- Sprechendes Land vergibt seine Punkte auf Französisch </t>
        </is>
      </c>
    </row>
    <row r="69">
      <c r="C69" s="14" t="n">
        <v>15</v>
      </c>
      <c r="D69" t="inlineStr">
        <is>
          <t xml:space="preserve">Måns Zelmerlow bekommt Bildschirmzeit </t>
        </is>
      </c>
      <c r="F69" t="n">
        <v>1</v>
      </c>
      <c r="H69" s="14" t="n">
        <v>15</v>
      </c>
      <c r="I69" t="inlineStr">
        <is>
          <t xml:space="preserve">Måns Zelmerlow bekommt Bildschirmzeit </t>
        </is>
      </c>
      <c r="M69" s="18" t="n">
        <v>15</v>
      </c>
      <c r="N69" t="inlineStr">
        <is>
          <t xml:space="preserve">Måns Zelmerlow bekommt Bildschirmzeit </t>
        </is>
      </c>
    </row>
    <row r="70">
      <c r="C70" s="12" t="n">
        <v>16</v>
      </c>
      <c r="D70" s="4" t="inlineStr">
        <is>
          <t>"Good morning, Australia"</t>
        </is>
      </c>
      <c r="F70" t="n">
        <v>1</v>
      </c>
      <c r="H70" s="12" t="n">
        <v>16</v>
      </c>
      <c r="I70" s="4" t="inlineStr">
        <is>
          <t>Celine Dion taucht auf</t>
        </is>
      </c>
      <c r="M70" s="20" t="n">
        <v>16</v>
      </c>
      <c r="N70" t="inlineStr">
        <is>
          <t xml:space="preserve">Das Publikum jubelt Petra Mede’s Namen </t>
        </is>
      </c>
    </row>
    <row r="71">
      <c r="C71" s="14" t="n">
        <v>17</v>
      </c>
      <c r="D71" t="inlineStr">
        <is>
          <t xml:space="preserve">Die Moderatorinnen müssen wegen technischer Problemen die Show verzögern </t>
        </is>
      </c>
      <c r="H71" s="14" t="n">
        <v>17</v>
      </c>
      <c r="I71" t="inlineStr">
        <is>
          <t xml:space="preserve">Die Moderatorinnen müssen wegen technischer Problemen die Show verzögern </t>
        </is>
      </c>
      <c r="K71" t="n">
        <v>1</v>
      </c>
      <c r="M71" s="18" t="n">
        <v>17</v>
      </c>
      <c r="N71" t="inlineStr">
        <is>
          <t xml:space="preserve">Die Moderatorinnen müssen wegen technische Problemen die Show verzögern </t>
        </is>
      </c>
    </row>
    <row r="72">
      <c r="C72" s="14" t="n">
        <v>18</v>
      </c>
      <c r="D72" t="inlineStr">
        <is>
          <t xml:space="preserve">Ein Fan ist erkennbar als ESC Künstlerin verkleidet </t>
        </is>
      </c>
      <c r="F72" t="n">
        <v>1</v>
      </c>
      <c r="H72" s="14" t="n">
        <v>18</v>
      </c>
      <c r="I72" t="inlineStr">
        <is>
          <t xml:space="preserve">Ein Fan ist erkennbar als ESC Künstlerin verkleidet </t>
        </is>
      </c>
      <c r="K72" t="n">
        <v>1</v>
      </c>
      <c r="M72" s="18" t="n">
        <v>18</v>
      </c>
      <c r="N72" t="inlineStr">
        <is>
          <t xml:space="preserve">Ein Fan ist erkennbar als ESC Künstlerin verkleidet </t>
        </is>
      </c>
    </row>
    <row r="73">
      <c r="C73" s="14" t="n">
        <v>19</v>
      </c>
      <c r="D73" t="inlineStr">
        <is>
          <t xml:space="preserve">Punktesprecherin verliert die Verbindung </t>
        </is>
      </c>
      <c r="H73" s="14" t="n">
        <v>19</v>
      </c>
      <c r="I73" t="inlineStr">
        <is>
          <t xml:space="preserve">Punktesprecherin verliert die Verbindung </t>
        </is>
      </c>
      <c r="M73" s="18" t="n">
        <v>19</v>
      </c>
      <c r="N73" t="inlineStr">
        <is>
          <t xml:space="preserve">Punktesprecherin verliert die Verbindung </t>
        </is>
      </c>
    </row>
    <row r="74">
      <c r="C74" s="14" t="n">
        <v>20</v>
      </c>
      <c r="D74" t="inlineStr">
        <is>
          <t xml:space="preserve">Intervall Act hat über 30 Leute auf der Bühne </t>
        </is>
      </c>
      <c r="F74" t="n">
        <v>1</v>
      </c>
      <c r="H74" s="14" t="n">
        <v>20</v>
      </c>
      <c r="I74" t="inlineStr">
        <is>
          <t xml:space="preserve">Intervall Act hat über 30 Leute auf der Bühne </t>
        </is>
      </c>
      <c r="M74" s="18" t="n">
        <v>20</v>
      </c>
      <c r="N74" t="inlineStr">
        <is>
          <t xml:space="preserve">Intervall Act hat über 30 Leute auf der Bühne </t>
        </is>
      </c>
    </row>
    <row r="75">
      <c r="C75" s="14" t="n">
        <v>21</v>
      </c>
      <c r="D75" t="inlineStr">
        <is>
          <t xml:space="preserve">Zuschauer-Favorit gewinnt </t>
        </is>
      </c>
      <c r="F75" t="n">
        <v>1</v>
      </c>
      <c r="H75" s="14" t="n">
        <v>21</v>
      </c>
      <c r="I75" t="inlineStr">
        <is>
          <t xml:space="preserve">Zuschauer-Favorit gewinnt </t>
        </is>
      </c>
      <c r="M75" s="18" t="n">
        <v>21</v>
      </c>
      <c r="N75" t="inlineStr">
        <is>
          <t xml:space="preserve">Zuschauer-Favorit gewinnt </t>
        </is>
      </c>
    </row>
    <row r="76">
      <c r="C76" s="14" t="n">
        <v>22</v>
      </c>
      <c r="D76" t="inlineStr">
        <is>
          <t xml:space="preserve">Misslungener hoher Ton / Stimmbruch </t>
        </is>
      </c>
      <c r="F76" t="n">
        <v>1</v>
      </c>
      <c r="H76" s="14" t="n">
        <v>22</v>
      </c>
      <c r="I76" t="inlineStr">
        <is>
          <t xml:space="preserve">Misslungener hoher Ton / Stimmbruch </t>
        </is>
      </c>
      <c r="M76" s="18" t="n">
        <v>22</v>
      </c>
      <c r="N76" t="inlineStr">
        <is>
          <t xml:space="preserve">Misslungener hoher Ton / Stimmbruch </t>
        </is>
      </c>
    </row>
    <row r="77">
      <c r="C77" s="18" t="n">
        <v>23</v>
      </c>
      <c r="D77" t="inlineStr">
        <is>
          <t xml:space="preserve">Deutschland landet auf der linken Seite der Punktetafel </t>
        </is>
      </c>
      <c r="H77" s="18" t="n">
        <v>23</v>
      </c>
      <c r="I77" t="inlineStr">
        <is>
          <t xml:space="preserve">Deutschland landet auf der linken Seite der Punktetafel </t>
        </is>
      </c>
      <c r="M77" s="18" t="n">
        <v>23</v>
      </c>
      <c r="N77" t="inlineStr">
        <is>
          <t xml:space="preserve">Deutschland landet auf der linken Seite der Punktetafel </t>
        </is>
      </c>
    </row>
    <row r="78">
      <c r="C78" s="14" t="n">
        <v>24</v>
      </c>
      <c r="D78" t="inlineStr">
        <is>
          <t xml:space="preserve">Ein nicht-Favorit landet unter den Top 5 </t>
        </is>
      </c>
      <c r="H78" s="14" t="n">
        <v>24</v>
      </c>
      <c r="I78" t="inlineStr">
        <is>
          <t xml:space="preserve">Ein nicht-Favorit landet unter den Top 5 </t>
        </is>
      </c>
      <c r="K78" t="n">
        <v>1</v>
      </c>
      <c r="M78" s="18" t="n">
        <v>24</v>
      </c>
      <c r="N78" t="inlineStr">
        <is>
          <t xml:space="preserve">Ein nicht-Favorit landet unter den Top 5 </t>
        </is>
      </c>
    </row>
    <row r="79">
      <c r="C79" s="14" t="n">
        <v>25</v>
      </c>
      <c r="D79" t="inlineStr">
        <is>
          <t xml:space="preserve">Ein Land schafft es sein bisher bestes Ergebnis zu übertreffen </t>
        </is>
      </c>
      <c r="F79" t="n">
        <v>1</v>
      </c>
      <c r="H79" s="14" t="n">
        <v>25</v>
      </c>
      <c r="I79" t="inlineStr">
        <is>
          <t xml:space="preserve">Ein Land schafft es sein bisher bestes Ergebnis zu übertreffen </t>
        </is>
      </c>
      <c r="M79" s="18" t="n">
        <v>25</v>
      </c>
      <c r="N79" t="inlineStr">
        <is>
          <t xml:space="preserve">Ein Land schafft es sein bisher bestes Ergebnis zu übertreffen </t>
        </is>
      </c>
    </row>
    <row r="80">
      <c r="C80" s="14" t="n">
        <v>26</v>
      </c>
      <c r="D80" t="inlineStr">
        <is>
          <t>Deutschland erhält mehr als 7 Jury Punkte von einem einzigen nicht-Nachbar Land</t>
        </is>
      </c>
      <c r="H80" s="13" t="n">
        <v>26</v>
      </c>
      <c r="I80" t="inlineStr">
        <is>
          <t>Deutschland erhält mehr als 7 Jury Punkte von einem einzigen nicht-Nachbar Land</t>
        </is>
      </c>
      <c r="K80" t="n">
        <v>1</v>
      </c>
      <c r="M80" s="19" t="n">
        <v>26</v>
      </c>
      <c r="N80" t="inlineStr">
        <is>
          <t>Deutschland erhält Jury Punkte von einem nicht- Nachbar Land</t>
        </is>
      </c>
    </row>
    <row r="81">
      <c r="C81" s="12" t="n">
        <v>27</v>
      </c>
      <c r="D81" s="4" t="inlineStr">
        <is>
          <t>Kommentar über Corona</t>
        </is>
      </c>
      <c r="F81" t="n">
        <v>1</v>
      </c>
      <c r="H81" s="12" t="n">
        <v>27</v>
      </c>
      <c r="I81" s="4" t="inlineStr">
        <is>
          <t>Jemand kommentiert, dass es der 69. Eurovision Song Contest ist</t>
        </is>
      </c>
      <c r="K81" t="n">
        <v>1</v>
      </c>
      <c r="M81" s="20" t="n">
        <v>27</v>
      </c>
      <c r="N81" t="inlineStr">
        <is>
          <t xml:space="preserve">Petra Mede macht einen anzüglichen Witz </t>
        </is>
      </c>
    </row>
    <row r="82">
      <c r="C82" s="14" t="n">
        <v>28</v>
      </c>
      <c r="D82" s="4" t="inlineStr">
        <is>
          <t>Publikum jubelt den Namen eines Künstlers oder ein bestimmtes Land</t>
        </is>
      </c>
      <c r="F82" t="n">
        <v>1</v>
      </c>
      <c r="H82" s="12" t="n">
        <v>28</v>
      </c>
      <c r="I82" s="4" t="inlineStr">
        <is>
          <t>Publikum jubelt den Namen eines Künstlers oder ein bestimmtes Land</t>
        </is>
      </c>
      <c r="K82" t="n">
        <v>1</v>
      </c>
      <c r="M82" s="18" t="n">
        <v>28</v>
      </c>
      <c r="N82" t="inlineStr">
        <is>
          <t xml:space="preserve">Jemand wirft eine Kusshand in die Kamera </t>
        </is>
      </c>
    </row>
    <row r="83">
      <c r="C83" s="14" t="n">
        <v>29</v>
      </c>
      <c r="D83" t="inlineStr">
        <is>
          <t xml:space="preserve">Lippenkuss </t>
        </is>
      </c>
      <c r="F83" t="n">
        <v>1</v>
      </c>
      <c r="H83" s="14" t="n">
        <v>29</v>
      </c>
      <c r="I83" t="inlineStr">
        <is>
          <t xml:space="preserve">Lippenkuss </t>
        </is>
      </c>
      <c r="M83" s="18" t="n">
        <v>29</v>
      </c>
      <c r="N83" t="inlineStr">
        <is>
          <t xml:space="preserve">Lippenkuss </t>
        </is>
      </c>
    </row>
    <row r="84">
      <c r="C84" s="14" t="n">
        <v>30</v>
      </c>
      <c r="D84" t="inlineStr">
        <is>
          <t xml:space="preserve">Minderjährige Punktesprecherin </t>
        </is>
      </c>
      <c r="F84" t="n">
        <v>1</v>
      </c>
      <c r="H84" s="14" t="n">
        <v>30</v>
      </c>
      <c r="I84" t="inlineStr">
        <is>
          <t xml:space="preserve">Minderjährige Punktesprecherin </t>
        </is>
      </c>
      <c r="M84" s="18" t="n">
        <v>30</v>
      </c>
      <c r="N84" t="inlineStr">
        <is>
          <t xml:space="preserve">Minderjährige Punktesprecherin </t>
        </is>
      </c>
    </row>
    <row r="85">
      <c r="C85" s="14" t="n">
        <v>31</v>
      </c>
      <c r="D85" s="4" t="inlineStr">
        <is>
          <t>Eine Künstlerin reagiert pissig auf ihre erhaltenen Punkte</t>
        </is>
      </c>
      <c r="H85" s="12" t="n">
        <v>31</v>
      </c>
      <c r="I85" s="4" t="inlineStr">
        <is>
          <t>Eine Künstlerin reagiert pissig auf ihre erhaltenen Punkte</t>
        </is>
      </c>
      <c r="K85" t="n">
        <v>1</v>
      </c>
      <c r="M85" s="18" t="n">
        <v>31</v>
      </c>
      <c r="N85" t="inlineStr">
        <is>
          <t xml:space="preserve">Flagge eines nicht- teilnehmenden Landes </t>
        </is>
      </c>
    </row>
    <row r="86">
      <c r="C86" s="14" t="n">
        <v>32</v>
      </c>
      <c r="D86" t="inlineStr">
        <is>
          <t xml:space="preserve">Gewinnersong hat eine der Startnummern 1 - 10 </t>
        </is>
      </c>
      <c r="H86" s="13" t="n">
        <v>32</v>
      </c>
      <c r="I86" t="inlineStr">
        <is>
          <t xml:space="preserve">Gewinner-Song hat eine der Startnummern 1 - 10 </t>
        </is>
      </c>
      <c r="K86" t="n">
        <v>1</v>
      </c>
      <c r="M86" s="18" t="n">
        <v>32</v>
      </c>
      <c r="N86" t="inlineStr">
        <is>
          <t xml:space="preserve">Gewinner-Song hat eine der Startnummern 2 - 10 </t>
        </is>
      </c>
    </row>
    <row r="87">
      <c r="C87" s="14" t="n">
        <v>33</v>
      </c>
      <c r="D87" t="inlineStr">
        <is>
          <t xml:space="preserve">Ein Land springt wegen der Zuschauer Punkte von der rechten Seite der Punktetafel auf den ersten Platz </t>
        </is>
      </c>
      <c r="F87" t="n">
        <v>1</v>
      </c>
      <c r="H87" s="14" t="n">
        <v>33</v>
      </c>
      <c r="I87" t="inlineStr">
        <is>
          <t xml:space="preserve">Ein Land springt wegen der Zuschauer Punkte von der rechten Seite der Punktetafel auf den ersten Platz </t>
        </is>
      </c>
      <c r="K87" t="n">
        <v>1</v>
      </c>
      <c r="M87" s="20" t="n">
        <v>33</v>
      </c>
      <c r="N87" t="inlineStr">
        <is>
          <t xml:space="preserve">Ein Land springt wegen der Zuschauer Punkte von der rechten Seite der Punktetafel auf den ersten Platz </t>
        </is>
      </c>
    </row>
    <row r="88">
      <c r="C88" s="23" t="n">
        <v>34</v>
      </c>
      <c r="D88" t="inlineStr">
        <is>
          <t xml:space="preserve">Flagge eines nicht-teilnehmenden Landes </t>
        </is>
      </c>
      <c r="F88" t="n">
        <v>1</v>
      </c>
      <c r="H88" s="12" t="n">
        <v>34</v>
      </c>
      <c r="I88" s="4" t="inlineStr">
        <is>
          <t>Ein lustiger Sketch auf Schwyzerdütsch</t>
        </is>
      </c>
      <c r="M88" s="20" t="n">
        <v>34</v>
      </c>
      <c r="N88" t="inlineStr">
        <is>
          <t xml:space="preserve">ABBA wird nicht explizit erwähnt </t>
        </is>
      </c>
    </row>
    <row r="89">
      <c r="C89" s="14" t="n">
        <v>35</v>
      </c>
      <c r="D89" t="inlineStr">
        <is>
          <t xml:space="preserve">Der Gewinnersong hat keine Englischen lyrics </t>
        </is>
      </c>
      <c r="H89" s="14" t="n">
        <v>35</v>
      </c>
      <c r="I89" t="inlineStr">
        <is>
          <t xml:space="preserve">Der Gewinnersong hat keine Englischen lyrics </t>
        </is>
      </c>
      <c r="M89" s="20" t="n">
        <v>35</v>
      </c>
      <c r="N89" t="inlineStr">
        <is>
          <t xml:space="preserve">Der Gewinnersong hat keine Englischen lyrics </t>
        </is>
      </c>
    </row>
    <row r="90">
      <c r="C90" s="14" t="n">
        <v>36</v>
      </c>
      <c r="D90" t="inlineStr">
        <is>
          <t xml:space="preserve">"(I'm Sorry,) Zero Points" </t>
        </is>
      </c>
      <c r="F90" t="n">
        <v>1</v>
      </c>
      <c r="H90" s="14" t="n">
        <v>36</v>
      </c>
      <c r="I90" t="inlineStr">
        <is>
          <t xml:space="preserve">"(I'm Sorry,) Zero Points" </t>
        </is>
      </c>
      <c r="K90" t="n">
        <v>1</v>
      </c>
      <c r="M90" s="18" t="n">
        <v>36</v>
      </c>
      <c r="N90" t="inlineStr">
        <is>
          <t xml:space="preserve">"(I'm Sorry,) Zero Points" </t>
        </is>
      </c>
    </row>
    <row r="91">
      <c r="C91" s="14" t="n">
        <v>37</v>
      </c>
      <c r="D91" s="4" t="inlineStr">
        <is>
          <t>Erwähnung eines nicht anwesenden Gewinners</t>
        </is>
      </c>
      <c r="F91" t="n">
        <v>1</v>
      </c>
      <c r="H91" s="13" t="n">
        <v>37</v>
      </c>
      <c r="I91" s="4" t="inlineStr">
        <is>
          <t>Erwähnung eines nicht anwesenden Gewinners</t>
        </is>
      </c>
      <c r="M91" s="19" t="n">
        <v>37</v>
      </c>
      <c r="N91" t="inlineStr">
        <is>
          <t xml:space="preserve">Erwähnung eines nicht anwesenden Gewinners (ABBA ausgeschlossen) </t>
        </is>
      </c>
    </row>
    <row r="92">
      <c r="C92" s="13" t="n">
        <v>38</v>
      </c>
      <c r="D92" s="4" t="inlineStr">
        <is>
          <t>"Douze points" wird gesagt bevor die Punkte vergeben werden</t>
        </is>
      </c>
      <c r="H92" s="12" t="n">
        <v>38</v>
      </c>
      <c r="I92" s="4" t="inlineStr">
        <is>
          <t>Jemand erwähnt "Douze points" bevor die Punkte vergeben werden</t>
        </is>
      </c>
      <c r="M92" s="18" t="n">
        <v>38</v>
      </c>
      <c r="N92" t="inlineStr">
        <is>
          <t xml:space="preserve">Künstlerin versteckt sich hinter einer Flagge </t>
        </is>
      </c>
    </row>
    <row r="93">
      <c r="C93" s="14" t="n">
        <v>39</v>
      </c>
      <c r="D93" t="inlineStr">
        <is>
          <t xml:space="preserve">Punktesprecherin macht einen Fehler bei der Punktevergabe </t>
        </is>
      </c>
      <c r="H93" s="14" t="n">
        <v>39</v>
      </c>
      <c r="I93" t="inlineStr">
        <is>
          <t xml:space="preserve">Punktesprecherin macht einen Fehler bei der Punktevergabe </t>
        </is>
      </c>
      <c r="M93" s="18" t="n">
        <v>39</v>
      </c>
      <c r="N93" t="inlineStr">
        <is>
          <t xml:space="preserve">Punktesprecherin macht einen Fehler bei der Punktevergabe </t>
        </is>
      </c>
    </row>
    <row r="94">
      <c r="C94" s="14" t="n">
        <v>40</v>
      </c>
      <c r="D94" t="inlineStr">
        <is>
          <t xml:space="preserve">Name einer Künstlerin wird falsch ausgesprochen </t>
        </is>
      </c>
      <c r="H94" s="14" t="n">
        <v>40</v>
      </c>
      <c r="I94" t="inlineStr">
        <is>
          <t xml:space="preserve">Name einer Künstlerin wird falsch ausgesprochen </t>
        </is>
      </c>
      <c r="M94" s="18" t="n">
        <v>40</v>
      </c>
      <c r="N94" t="inlineStr">
        <is>
          <t xml:space="preserve">Name einer Künstlerin wird falsch ausgesprochen </t>
        </is>
      </c>
    </row>
    <row r="95">
      <c r="C95" s="14" t="n">
        <v>41</v>
      </c>
      <c r="D95" t="inlineStr">
        <is>
          <t xml:space="preserve">Fan-Favorit flopped beim Zuschauer Voting </t>
        </is>
      </c>
      <c r="F95" t="n">
        <v>1</v>
      </c>
      <c r="H95" s="14" t="n">
        <v>41</v>
      </c>
      <c r="I95" t="inlineStr">
        <is>
          <t xml:space="preserve">Fan-Favorit flopped beim Zuschauer Voting </t>
        </is>
      </c>
      <c r="K95" t="n">
        <v>1</v>
      </c>
      <c r="M95" s="18" t="n">
        <v>41</v>
      </c>
      <c r="N95" t="inlineStr">
        <is>
          <t xml:space="preserve">Fan-Favorit flopped beim Zuschauer Voting </t>
        </is>
      </c>
    </row>
    <row r="96">
      <c r="C96" s="14" t="n">
        <v>42</v>
      </c>
      <c r="D96" t="inlineStr">
        <is>
          <t xml:space="preserve">Jury-Favorit gewinnt </t>
        </is>
      </c>
      <c r="F96" t="n">
        <v>1</v>
      </c>
      <c r="H96" s="14" t="n">
        <v>42</v>
      </c>
      <c r="I96" t="inlineStr">
        <is>
          <t xml:space="preserve">Jury-Favorit gewinnt </t>
        </is>
      </c>
      <c r="K96" t="n">
        <v>1</v>
      </c>
      <c r="M96" s="18" t="n">
        <v>42</v>
      </c>
      <c r="N96" t="inlineStr">
        <is>
          <t xml:space="preserve">Jury-Favorit gewinnt </t>
        </is>
      </c>
    </row>
    <row r="97">
      <c r="C97" s="14" t="n">
        <v>43</v>
      </c>
      <c r="D97" t="inlineStr">
        <is>
          <t xml:space="preserve">12 Jury Punkte gehen an ein nicht-Favorit, nicht-Nachbar Land (Australien ausgeschlossen) </t>
        </is>
      </c>
      <c r="F97" t="n">
        <v>1</v>
      </c>
      <c r="H97" s="14" t="n">
        <v>43</v>
      </c>
      <c r="I97" t="inlineStr">
        <is>
          <t xml:space="preserve">12 Jury Punkte gehen an ein nicht-Favorit, nicht-Nachbar Land (Australien ausgeschlossen) </t>
        </is>
      </c>
      <c r="K97" t="n">
        <v>1</v>
      </c>
      <c r="M97" s="19" t="n">
        <v>43</v>
      </c>
      <c r="N97" t="inlineStr">
        <is>
          <t xml:space="preserve">12 Jury Punkte gehen an ein nicht-Favorit, nicht-Nachbar Land (Australien ausgeschlossen) </t>
        </is>
      </c>
    </row>
    <row r="98">
      <c r="C98" s="14" t="n">
        <v>44</v>
      </c>
      <c r="D98" t="inlineStr">
        <is>
          <t xml:space="preserve">Schweden ist nicht Jury Favorit </t>
        </is>
      </c>
      <c r="F98" t="n">
        <v>1</v>
      </c>
      <c r="H98" s="14" t="n">
        <v>44</v>
      </c>
      <c r="I98" t="inlineStr">
        <is>
          <t xml:space="preserve">Schweden ist nicht Jury Favorit </t>
        </is>
      </c>
      <c r="K98" t="n">
        <v>1</v>
      </c>
      <c r="M98" s="18" t="n">
        <v>44</v>
      </c>
      <c r="N98" t="inlineStr">
        <is>
          <t xml:space="preserve">Schweden ist nicht Jury Favorit </t>
        </is>
      </c>
    </row>
    <row r="99">
      <c r="C99" s="14" t="n">
        <v>45</v>
      </c>
      <c r="D99" t="inlineStr">
        <is>
          <t xml:space="preserve">Der letzte Platz hat ein einziffriges Ergebnis </t>
        </is>
      </c>
      <c r="F99" t="n">
        <v>1</v>
      </c>
      <c r="H99" s="14" t="n">
        <v>45</v>
      </c>
      <c r="I99" t="inlineStr">
        <is>
          <t xml:space="preserve">Der letzte Platz hat ein einziffriges Ergebnis </t>
        </is>
      </c>
      <c r="M99" s="20" t="n">
        <v>45</v>
      </c>
      <c r="N99" t="inlineStr">
        <is>
          <t xml:space="preserve">Der letzte Platz hat ein einziffriges Ergebnis </t>
        </is>
      </c>
    </row>
    <row r="100">
      <c r="C100" s="13" t="n">
        <v>46</v>
      </c>
      <c r="D100" s="4" t="inlineStr">
        <is>
          <t>Pride Fahne außer der Regenbogen Fahne</t>
        </is>
      </c>
      <c r="H100" s="13" t="n">
        <v>46</v>
      </c>
      <c r="I100" s="4" t="inlineStr">
        <is>
          <t>Pride Fahne außer der standard Regenbogen Fahne</t>
        </is>
      </c>
      <c r="M100" s="19" t="n">
        <v>46</v>
      </c>
      <c r="N100" t="inlineStr">
        <is>
          <t xml:space="preserve">Jemand bringt eine Pride Fahne außer der standard Regenbogen Fahne zur Fahnenparade </t>
        </is>
      </c>
    </row>
    <row r="101">
      <c r="C101" s="14" t="n">
        <v>47</v>
      </c>
      <c r="D101" t="inlineStr">
        <is>
          <t xml:space="preserve">Eiffelturm </t>
        </is>
      </c>
      <c r="F101" t="n">
        <v>1</v>
      </c>
      <c r="H101" s="14" t="n">
        <v>47</v>
      </c>
      <c r="I101" t="inlineStr">
        <is>
          <t xml:space="preserve">Eiffelturm </t>
        </is>
      </c>
      <c r="K101" t="n">
        <v>1</v>
      </c>
      <c r="M101" s="18" t="n">
        <v>47</v>
      </c>
      <c r="N101" t="inlineStr">
        <is>
          <t xml:space="preserve">Eiffelturm </t>
        </is>
      </c>
    </row>
    <row r="102">
      <c r="C102" s="14" t="n">
        <v>48</v>
      </c>
      <c r="D102" t="inlineStr">
        <is>
          <t xml:space="preserve">Kamera Fehlfunktion </t>
        </is>
      </c>
      <c r="F102" t="n">
        <v>1</v>
      </c>
      <c r="H102" s="14" t="n">
        <v>48</v>
      </c>
      <c r="I102" t="inlineStr">
        <is>
          <t xml:space="preserve">Kamera Fehlfunktion </t>
        </is>
      </c>
      <c r="K102" t="n">
        <v>1</v>
      </c>
      <c r="M102" s="18" t="n">
        <v>48</v>
      </c>
      <c r="N102" t="inlineStr">
        <is>
          <t xml:space="preserve">Kamera Fehlfunktion </t>
        </is>
      </c>
    </row>
    <row r="103">
      <c r="C103" s="12" t="n">
        <v>49</v>
      </c>
      <c r="D103" t="inlineStr">
        <is>
          <t>Gewinnerland hat seit dem Jahr 2000 bereits mindestens einmal gewonnen</t>
        </is>
      </c>
      <c r="H103" s="14" t="n">
        <v>49</v>
      </c>
      <c r="I103" t="inlineStr">
        <is>
          <t xml:space="preserve">Voting Unregelmäßigkeiten </t>
        </is>
      </c>
      <c r="M103" s="18" t="n">
        <v>49</v>
      </c>
      <c r="N103" t="inlineStr">
        <is>
          <t xml:space="preserve">Voting Unregelmäßigkeiten </t>
        </is>
      </c>
    </row>
    <row r="104">
      <c r="C104" s="14" t="n">
        <v>50</v>
      </c>
      <c r="D104" t="inlineStr">
        <is>
          <t xml:space="preserve">Künstlerin darf wegen technischer Probleme nochmal auftreten </t>
        </is>
      </c>
      <c r="H104" s="14" t="n">
        <v>50</v>
      </c>
      <c r="I104" t="inlineStr">
        <is>
          <t xml:space="preserve">Künstlerin darf wegen technischer Probleme nochmal auftreten </t>
        </is>
      </c>
      <c r="M104" s="18" t="n">
        <v>50</v>
      </c>
      <c r="N104" t="inlineStr">
        <is>
          <t xml:space="preserve">Künstlerin darf wegen technischer Probleme nochmal auftreten </t>
        </is>
      </c>
    </row>
  </sheetData>
  <conditionalFormatting sqref="O2:O51">
    <cfRule type="colorScale" priority="4">
      <colorScale>
        <cfvo type="min"/>
        <cfvo type="max"/>
        <color rgb="FFFFC5F2"/>
        <color rgb="FFC74EFF"/>
      </colorScale>
    </cfRule>
  </conditionalFormatting>
  <conditionalFormatting sqref="T2:T51">
    <cfRule type="colorScale" priority="3">
      <colorScale>
        <cfvo type="min"/>
        <cfvo type="percentile" val="50"/>
        <cfvo type="max"/>
        <color rgb="FFFFC5F2"/>
        <color rgb="FFE172FF"/>
        <color rgb="FFC74EFF"/>
      </colorScale>
    </cfRule>
  </conditionalFormatting>
  <conditionalFormatting sqref="J2:J51">
    <cfRule type="colorScale" priority="2">
      <colorScale>
        <cfvo type="min"/>
        <cfvo type="percentile" val="50"/>
        <cfvo type="max"/>
        <color rgb="FFFFC5F2"/>
        <color rgb="FFE172FF"/>
        <color rgb="FFC74EFF"/>
      </colorScale>
    </cfRule>
  </conditionalFormatting>
  <conditionalFormatting sqref="E2:E51">
    <cfRule type="colorScale" priority="1">
      <colorScale>
        <cfvo type="min"/>
        <cfvo type="percentile" val="50"/>
        <cfvo type="max"/>
        <color rgb="FFFFC5F2"/>
        <color rgb="FFE172FF"/>
        <color rgb="FFC74EFF"/>
      </colorScale>
    </cfRule>
  </conditionalFormatting>
  <pageMargins left="0.7" right="0.7" top="0.75" bottom="0.75" header="0.3" footer="0.3"/>
  <pageSetup orientation="portrait" paperSize="9" horizontalDpi="0" verticalDpi="0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Henning</dc:creator>
  <dcterms:created xmlns:dcterms="http://purl.org/dc/terms/" xmlns:xsi="http://www.w3.org/2001/XMLSchema-instance" xsi:type="dcterms:W3CDTF">2022-05-12T05:35:14Z</dcterms:created>
  <dcterms:modified xmlns:dcterms="http://purl.org/dc/terms/" xmlns:xsi="http://www.w3.org/2001/XMLSchema-instance" xsi:type="dcterms:W3CDTF">2026-08-20T08:22:47Z</dcterms:modified>
  <cp:lastModifiedBy>Henning Breuers</cp:lastModifiedBy>
  <cp:lastPrinted>2026-05-16T14:23:29Z</cp:lastPrinted>
</cp:coreProperties>
</file>